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cka\Desktop\Cours Raleigh\VBA foundations for Finance II\Project\"/>
    </mc:Choice>
  </mc:AlternateContent>
  <xr:revisionPtr revIDLastSave="0" documentId="13_ncr:1_{97E7BDDA-2F5D-4AE5-8AFF-0EEE79C44E4A}" xr6:coauthVersionLast="47" xr6:coauthVersionMax="47" xr10:uidLastSave="{00000000-0000-0000-0000-000000000000}"/>
  <bookViews>
    <workbookView xWindow="-23148" yWindow="-108" windowWidth="23256" windowHeight="12576" activeTab="5" xr2:uid="{58E23EDB-76AC-4886-A62E-565FF7DC4698}"/>
  </bookViews>
  <sheets>
    <sheet name="EPS_NDPS" sheetId="103" r:id="rId1"/>
    <sheet name="Profitability" sheetId="104" r:id="rId2"/>
    <sheet name="Profitability (2)" sheetId="105" r:id="rId3"/>
    <sheet name="Growth" sheetId="106" r:id="rId4"/>
    <sheet name="Analysis" sheetId="1" r:id="rId5"/>
    <sheet name="Analysis (2)" sheetId="100" r:id="rId6"/>
  </sheets>
  <definedNames>
    <definedName name="Design_1">'Analysis (2)'!$F$40</definedName>
    <definedName name="solver_adj" localSheetId="5" hidden="1">'Analysis (2)'!$C$27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'Analysis (2)'!$E$27</definedName>
    <definedName name="solver_typ" localSheetId="5" hidden="1">3</definedName>
    <definedName name="solver_val" localSheetId="5" hidden="1">"B16"</definedName>
    <definedName name="solver_ver" localSheetId="5" hidden="1">3</definedName>
  </definedNames>
  <calcPr calcId="191029"/>
  <pivotCaches>
    <pivotCache cacheId="8" r:id="rId7"/>
    <pivotCache cacheId="11" r:id="rId8"/>
    <pivotCache cacheId="14" r:id="rId9"/>
    <pivotCache cacheId="1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5" i="100" l="1"/>
  <c r="D65" i="100"/>
  <c r="B65" i="100"/>
  <c r="D64" i="100"/>
  <c r="F64" i="100"/>
  <c r="B64" i="100"/>
  <c r="E36" i="100"/>
  <c r="E31" i="100"/>
  <c r="E26" i="100"/>
  <c r="D56" i="100"/>
  <c r="B56" i="100"/>
  <c r="D48" i="100"/>
  <c r="D47" i="100"/>
  <c r="D46" i="100"/>
  <c r="B46" i="100" l="1"/>
  <c r="E28" i="100" l="1"/>
  <c r="C42" i="100"/>
  <c r="D49" i="100" s="1"/>
  <c r="C41" i="100"/>
  <c r="P22" i="100"/>
  <c r="P17" i="100"/>
  <c r="L22" i="100"/>
  <c r="L17" i="100"/>
  <c r="H22" i="100"/>
  <c r="H17" i="100"/>
  <c r="E37" i="100"/>
  <c r="E38" i="100"/>
  <c r="E27" i="100"/>
  <c r="E32" i="100"/>
  <c r="E33" i="100"/>
  <c r="B48" i="100"/>
  <c r="C48" i="100" s="1"/>
  <c r="B47" i="100"/>
  <c r="C47" i="100" s="1"/>
  <c r="C46" i="100"/>
  <c r="G12" i="100"/>
  <c r="G11" i="100" s="1"/>
  <c r="F12" i="100"/>
  <c r="F11" i="100" s="1"/>
  <c r="E12" i="100"/>
  <c r="E11" i="100" s="1"/>
  <c r="C16" i="100" l="1"/>
  <c r="C18" i="100" s="1"/>
  <c r="B16" i="100"/>
  <c r="B17" i="100" s="1"/>
  <c r="C17" i="100"/>
  <c r="D16" i="100"/>
  <c r="D18" i="100"/>
  <c r="D17" i="100"/>
  <c r="C49" i="100"/>
  <c r="H34" i="100"/>
  <c r="B49" i="100"/>
  <c r="B18" i="100"/>
  <c r="H36" i="100" l="1"/>
  <c r="H35" i="100"/>
  <c r="B54" i="100"/>
  <c r="A60" i="100"/>
  <c r="A54" i="100" l="1"/>
  <c r="A59" i="100"/>
  <c r="D54" i="100"/>
  <c r="A61" i="100"/>
  <c r="B60" i="100"/>
  <c r="C60" i="100"/>
  <c r="D60" i="100"/>
  <c r="C61" i="100" l="1"/>
  <c r="D61" i="100"/>
  <c r="B61" i="100"/>
  <c r="B59" i="100"/>
  <c r="D59" i="100"/>
  <c r="C59" i="100"/>
</calcChain>
</file>

<file path=xl/sharedStrings.xml><?xml version="1.0" encoding="utf-8"?>
<sst xmlns="http://schemas.openxmlformats.org/spreadsheetml/2006/main" count="271" uniqueCount="156">
  <si>
    <t>Ticker</t>
  </si>
  <si>
    <t>Name</t>
  </si>
  <si>
    <t>Mkt Cap (EUR M)</t>
  </si>
  <si>
    <t>EV</t>
  </si>
  <si>
    <t>EV/TTM EBITDA</t>
  </si>
  <si>
    <t>EV/EBITDA FY1</t>
  </si>
  <si>
    <t>EV/EBITDA FY2</t>
  </si>
  <si>
    <t>P/E</t>
  </si>
  <si>
    <t>P/E FY1</t>
  </si>
  <si>
    <t>P/E FY2</t>
  </si>
  <si>
    <t>P/FCF</t>
  </si>
  <si>
    <t>Dividend Yield</t>
  </si>
  <si>
    <t>Last Px (EUR)</t>
  </si>
  <si>
    <t>1 Year Mid CDS Spread</t>
  </si>
  <si>
    <t>2 Year Mid CDS Spread</t>
  </si>
  <si>
    <t>3 Year Mid CDS Spread</t>
  </si>
  <si>
    <t>5 Year Mid CDS Spread</t>
  </si>
  <si>
    <t>Net Debt per Share</t>
  </si>
  <si>
    <t>12 Month Implied Volatility</t>
  </si>
  <si>
    <t>Sales Growth (%)</t>
  </si>
  <si>
    <t>EBITDA Growth (%)</t>
  </si>
  <si>
    <t>EBITDA Margin</t>
  </si>
  <si>
    <t>Operating Income Margin</t>
  </si>
  <si>
    <t>Net Income Growth (%)</t>
  </si>
  <si>
    <t>Net Profit Margin</t>
  </si>
  <si>
    <t>Capex/Sales (%)</t>
  </si>
  <si>
    <t>Return on Invested Capital</t>
  </si>
  <si>
    <t>Return on Assets</t>
  </si>
  <si>
    <t>Return on Equity</t>
  </si>
  <si>
    <t>Raw Beta</t>
  </si>
  <si>
    <t>Adj Beta (2/3*Raw Beta+1/3*1)</t>
  </si>
  <si>
    <t>Alpha</t>
  </si>
  <si>
    <t>R Squared</t>
  </si>
  <si>
    <t>Standard Deviation of Error (Beta)</t>
  </si>
  <si>
    <t>Relative Index</t>
  </si>
  <si>
    <t>1 Yr Total Return (%)</t>
  </si>
  <si>
    <t>3 Yr Annualized Total Return (%)</t>
  </si>
  <si>
    <t>5 Yr Annualized Total Return (%)</t>
  </si>
  <si>
    <t>MTD Total Return (%)</t>
  </si>
  <si>
    <t>EPS</t>
  </si>
  <si>
    <t>Curr Shares Out (M)</t>
  </si>
  <si>
    <t>EBITDA Adj T12M</t>
  </si>
  <si>
    <t>Adj Op Inc T12M</t>
  </si>
  <si>
    <t>EV / EBIT Adj</t>
  </si>
  <si>
    <t>EV / EBITDA Adj</t>
  </si>
  <si>
    <t>52Wk High</t>
  </si>
  <si>
    <t>52Wk Low</t>
  </si>
  <si>
    <t>MMT FP Equity</t>
  </si>
  <si>
    <t>M6-METROPOLE TELEVISION</t>
  </si>
  <si>
    <t>#N/A N/A</t>
  </si>
  <si>
    <t>CAC Index</t>
  </si>
  <si>
    <t>TFI FP Equity</t>
  </si>
  <si>
    <t>TELEVISION FRANCAISE (T.F.1)</t>
  </si>
  <si>
    <t>PSM GR Equity</t>
  </si>
  <si>
    <t>PROSIEBENSAT.1 MEDIA SE</t>
  </si>
  <si>
    <t>DAX Index</t>
  </si>
  <si>
    <t>RTL LX Equity</t>
  </si>
  <si>
    <t>RTL GROUP</t>
  </si>
  <si>
    <t>LUXXX Index</t>
  </si>
  <si>
    <t>MFEB IM Equity</t>
  </si>
  <si>
    <t>MFE-MEDIAFOREUROPE NV-CL B</t>
  </si>
  <si>
    <t>FTSEMIB Index</t>
  </si>
  <si>
    <t>TL5 SM Equity</t>
  </si>
  <si>
    <t>MEDIASET ESPANA COMUNICACION</t>
  </si>
  <si>
    <t>IBEX Index</t>
  </si>
  <si>
    <t>ITV LN Equity</t>
  </si>
  <si>
    <t>ITV PLC</t>
  </si>
  <si>
    <t>UKX Index</t>
  </si>
  <si>
    <t>A3M SM Equity</t>
  </si>
  <si>
    <t>ATRESMEDIA CORP DE MEDIOS DE</t>
  </si>
  <si>
    <t>Summary of current multiples</t>
  </si>
  <si>
    <t>2Y Corr</t>
  </si>
  <si>
    <t>Mkt Cap (EUR B)</t>
  </si>
  <si>
    <t xml:space="preserve"> EV/EBITDA</t>
  </si>
  <si>
    <t>EV/EBIT</t>
  </si>
  <si>
    <t>Metropole Television SA</t>
  </si>
  <si>
    <t>MMT FP</t>
  </si>
  <si>
    <t>Television Francaise 1</t>
  </si>
  <si>
    <t>TFI FP</t>
  </si>
  <si>
    <t>RTL Group SA</t>
  </si>
  <si>
    <t>RTL LX</t>
  </si>
  <si>
    <t>ProSiebenSat.1 Media SE</t>
  </si>
  <si>
    <t>PSM GR</t>
  </si>
  <si>
    <t>ITV LN</t>
  </si>
  <si>
    <t>Atresmedia Corp de Medios de C</t>
  </si>
  <si>
    <t>A3M SM</t>
  </si>
  <si>
    <t>MFE-MediaForEurope NV</t>
  </si>
  <si>
    <t>MFEB IM</t>
  </si>
  <si>
    <t>Mediaset Espana Comunicacion S</t>
  </si>
  <si>
    <t>TL5 SM</t>
  </si>
  <si>
    <t>Current Premium to Comps Mean</t>
  </si>
  <si>
    <t>Mean   (Including Metropole)</t>
  </si>
  <si>
    <t>EV/EBITDA</t>
  </si>
  <si>
    <t>Mean</t>
  </si>
  <si>
    <t>Low x</t>
  </si>
  <si>
    <t>High x</t>
  </si>
  <si>
    <t>Price</t>
  </si>
  <si>
    <t>Multiple x</t>
  </si>
  <si>
    <t xml:space="preserve">Low </t>
  </si>
  <si>
    <t>High</t>
  </si>
  <si>
    <t>52 Low/High</t>
  </si>
  <si>
    <t>Summary analysis</t>
  </si>
  <si>
    <t>Football field Chart</t>
  </si>
  <si>
    <t>Low (Bar)</t>
  </si>
  <si>
    <t>Diff</t>
  </si>
  <si>
    <t>High (Label)</t>
  </si>
  <si>
    <t>Low</t>
  </si>
  <si>
    <t>52 hi/low</t>
  </si>
  <si>
    <t>Low Range</t>
  </si>
  <si>
    <t>High Range</t>
  </si>
  <si>
    <t xml:space="preserve">Current Market Cap Target </t>
  </si>
  <si>
    <t>Price Mkt Cap Targets (Million EUR)</t>
  </si>
  <si>
    <t>If Price</t>
  </si>
  <si>
    <t>1</t>
  </si>
  <si>
    <t>French Media Companies</t>
  </si>
  <si>
    <t>1.05</t>
  </si>
  <si>
    <t>Valuation</t>
  </si>
  <si>
    <t>Premium to Comps mean</t>
  </si>
  <si>
    <t>Overview</t>
  </si>
  <si>
    <t>Choose thelow multiple and high multiple that you want !</t>
  </si>
  <si>
    <t>According to what calibration you make for each comparable,</t>
  </si>
  <si>
    <t>Then solver will try to find the price of MMT, which corresponds</t>
  </si>
  <si>
    <t>Then you can also adjust here to create the range of the</t>
  </si>
  <si>
    <t>price deviation from the mean that you want to take !</t>
  </si>
  <si>
    <t xml:space="preserve">It will create the transparent blue rectangular that shows </t>
  </si>
  <si>
    <t>you range price. And for more fun everything is dynnamic :)</t>
  </si>
  <si>
    <t xml:space="preserve">Obviously, the range can be a little bit unaccurate </t>
  </si>
  <si>
    <t>(VBA doesn't allow me to make a bigger If statement)</t>
  </si>
  <si>
    <t>But atleast, it shows a graph representations of your current price</t>
  </si>
  <si>
    <r>
      <rPr>
        <b/>
        <sz val="11"/>
        <color theme="1"/>
        <rFont val="Calibri"/>
        <family val="2"/>
        <scheme val="minor"/>
      </rPr>
      <t>Notes</t>
    </r>
    <r>
      <rPr>
        <sz val="11"/>
        <color theme="1"/>
        <rFont val="Calibri"/>
        <family val="2"/>
        <scheme val="minor"/>
      </rPr>
      <t xml:space="preserve"> (How to interpret everything)</t>
    </r>
  </si>
  <si>
    <t xml:space="preserve">On the box from A52 to D54, it shows what kind of market cap </t>
  </si>
  <si>
    <t>represents the target if the price was at Low price (H35) or</t>
  </si>
  <si>
    <t xml:space="preserve">The box on the side show now what kind of multiplier could </t>
  </si>
  <si>
    <t>represent the company if the price was standing as above, and</t>
  </si>
  <si>
    <t>for each kind of comparable.</t>
  </si>
  <si>
    <t>The box takes information from the first box, we created</t>
  </si>
  <si>
    <t xml:space="preserve"> this box to implement dynamic words in our sentences that </t>
  </si>
  <si>
    <t>we will transfer to our word document.</t>
  </si>
  <si>
    <t>Mean price (H34) and high price (H36).</t>
  </si>
  <si>
    <t>and your price range (Low and high) according to the options selected.</t>
  </si>
  <si>
    <t>Then we will take the mean of the sum of each low and high comparable method.</t>
  </si>
  <si>
    <t>to the value of the low and high multiples.</t>
  </si>
  <si>
    <t>the values in the range ("B17:D18") will change.</t>
  </si>
  <si>
    <t>Row Labels</t>
  </si>
  <si>
    <t>Grand Total</t>
  </si>
  <si>
    <t>Values</t>
  </si>
  <si>
    <t xml:space="preserve"> EBITDA Growth (%)</t>
  </si>
  <si>
    <t xml:space="preserve"> Net Income Growth (%)</t>
  </si>
  <si>
    <t xml:space="preserve"> EPS</t>
  </si>
  <si>
    <t xml:space="preserve"> Net Debt per Share</t>
  </si>
  <si>
    <t xml:space="preserve"> Return on Assets</t>
  </si>
  <si>
    <t xml:space="preserve"> Return on Equity</t>
  </si>
  <si>
    <t xml:space="preserve"> Return on Invested Capital</t>
  </si>
  <si>
    <t>=</t>
  </si>
  <si>
    <t>0,9</t>
  </si>
  <si>
    <t>1,05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</si>
</sst>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0.0%"/>
    <numFmt numFmtId="165" formatCode="0.0"/>
    <numFmt numFmtId="166" formatCode="#\ ##,000\ \€"/>
    <numFmt numFmtId="167" formatCode="0\.00"/>
    <numFmt numFmtId="168" formatCode="_-* #.##.\ [$€-40C]_-;\-* #.##.\ [$€-40C]_-;_-* &quot;-&quot;??\ [$€-40C]_-;_-@_ⴆ"/>
    <numFmt numFmtId="169" formatCode="0.00\ \x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name val="Arial Unicode MS"/>
      <family val="2"/>
    </font>
    <font>
      <b/>
      <sz val="10"/>
      <name val="Arial"/>
      <family val="2"/>
    </font>
    <font>
      <sz val="9"/>
      <name val="Arial Unicode MS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sz val="10"/>
      <color theme="0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indexed="9"/>
      <name val="Calibri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B8C2AD"/>
      </patternFill>
    </fill>
    <fill>
      <patternFill patternType="solid">
        <fgColor rgb="FF4F81B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2" borderId="0">
      <alignment horizontal="center"/>
    </xf>
    <xf numFmtId="0" fontId="7" fillId="0" borderId="0"/>
    <xf numFmtId="0" fontId="9" fillId="3" borderId="0"/>
  </cellStyleXfs>
  <cellXfs count="90">
    <xf numFmtId="0" fontId="0" fillId="0" borderId="0" xfId="0"/>
    <xf numFmtId="0" fontId="6" fillId="2" borderId="0" xfId="3" applyFont="1">
      <alignment horizontal="center"/>
    </xf>
    <xf numFmtId="0" fontId="8" fillId="0" borderId="0" xfId="4" applyFont="1" applyAlignment="1">
      <alignment horizontal="left"/>
    </xf>
    <xf numFmtId="2" fontId="8" fillId="0" borderId="0" xfId="4" applyNumberFormat="1" applyFont="1" applyAlignment="1">
      <alignment horizontal="right"/>
    </xf>
    <xf numFmtId="0" fontId="9" fillId="3" borderId="4" xfId="5" applyBorder="1"/>
    <xf numFmtId="0" fontId="9" fillId="3" borderId="5" xfId="5" applyBorder="1"/>
    <xf numFmtId="0" fontId="9" fillId="3" borderId="6" xfId="5" applyBorder="1"/>
    <xf numFmtId="0" fontId="0" fillId="0" borderId="1" xfId="0" applyBorder="1"/>
    <xf numFmtId="0" fontId="0" fillId="0" borderId="2" xfId="0" applyBorder="1"/>
    <xf numFmtId="2" fontId="8" fillId="0" borderId="2" xfId="4" applyNumberFormat="1" applyFont="1" applyBorder="1" applyAlignment="1">
      <alignment horizontal="right"/>
    </xf>
    <xf numFmtId="2" fontId="8" fillId="0" borderId="3" xfId="4" applyNumberFormat="1" applyFont="1" applyBorder="1" applyAlignment="1">
      <alignment horizontal="right"/>
    </xf>
    <xf numFmtId="0" fontId="0" fillId="0" borderId="7" xfId="0" applyBorder="1"/>
    <xf numFmtId="2" fontId="8" fillId="0" borderId="8" xfId="4" applyNumberFormat="1" applyFont="1" applyBorder="1" applyAlignment="1">
      <alignment horizontal="right"/>
    </xf>
    <xf numFmtId="0" fontId="0" fillId="0" borderId="4" xfId="0" applyBorder="1"/>
    <xf numFmtId="0" fontId="0" fillId="0" borderId="5" xfId="0" applyBorder="1"/>
    <xf numFmtId="2" fontId="8" fillId="0" borderId="5" xfId="4" applyNumberFormat="1" applyFont="1" applyBorder="1" applyAlignment="1">
      <alignment horizontal="right"/>
    </xf>
    <xf numFmtId="2" fontId="8" fillId="0" borderId="6" xfId="4" applyNumberFormat="1" applyFont="1" applyBorder="1" applyAlignment="1">
      <alignment horizontal="right"/>
    </xf>
    <xf numFmtId="164" fontId="0" fillId="0" borderId="0" xfId="2" applyNumberFormat="1" applyFont="1" applyBorder="1"/>
    <xf numFmtId="164" fontId="0" fillId="0" borderId="8" xfId="2" applyNumberFormat="1" applyFont="1" applyBorder="1"/>
    <xf numFmtId="165" fontId="0" fillId="0" borderId="5" xfId="0" applyNumberFormat="1" applyBorder="1"/>
    <xf numFmtId="165" fontId="0" fillId="0" borderId="6" xfId="0" applyNumberFormat="1" applyBorder="1"/>
    <xf numFmtId="0" fontId="9" fillId="3" borderId="9" xfId="5" applyBorder="1"/>
    <xf numFmtId="0" fontId="9" fillId="3" borderId="10" xfId="5" applyBorder="1"/>
    <xf numFmtId="0" fontId="9" fillId="3" borderId="11" xfId="5" applyBorder="1"/>
    <xf numFmtId="2" fontId="0" fillId="0" borderId="0" xfId="0" applyNumberFormat="1"/>
    <xf numFmtId="2" fontId="0" fillId="0" borderId="8" xfId="0" applyNumberFormat="1" applyBorder="1"/>
    <xf numFmtId="2" fontId="0" fillId="0" borderId="5" xfId="0" applyNumberFormat="1" applyBorder="1"/>
    <xf numFmtId="2" fontId="0" fillId="0" borderId="6" xfId="0" applyNumberFormat="1" applyBorder="1"/>
    <xf numFmtId="0" fontId="9" fillId="0" borderId="0" xfId="5" applyFill="1"/>
    <xf numFmtId="0" fontId="10" fillId="0" borderId="1" xfId="5" applyFont="1" applyFill="1" applyBorder="1"/>
    <xf numFmtId="0" fontId="0" fillId="0" borderId="0" xfId="0" applyBorder="1"/>
    <xf numFmtId="2" fontId="0" fillId="0" borderId="0" xfId="0" applyNumberFormat="1" applyBorder="1"/>
    <xf numFmtId="0" fontId="3" fillId="0" borderId="0" xfId="0" applyFont="1" applyAlignment="1">
      <alignment horizontal="center"/>
    </xf>
    <xf numFmtId="0" fontId="0" fillId="5" borderId="7" xfId="0" applyFill="1" applyBorder="1"/>
    <xf numFmtId="2" fontId="0" fillId="5" borderId="8" xfId="0" applyNumberFormat="1" applyFill="1" applyBorder="1"/>
    <xf numFmtId="0" fontId="0" fillId="5" borderId="4" xfId="0" applyFill="1" applyBorder="1"/>
    <xf numFmtId="2" fontId="0" fillId="5" borderId="6" xfId="0" applyNumberFormat="1" applyFill="1" applyBorder="1"/>
    <xf numFmtId="166" fontId="0" fillId="0" borderId="0" xfId="1" applyNumberFormat="1" applyFont="1" applyFill="1" applyBorder="1"/>
    <xf numFmtId="2" fontId="4" fillId="6" borderId="0" xfId="0" applyNumberFormat="1" applyFont="1" applyFill="1"/>
    <xf numFmtId="165" fontId="4" fillId="6" borderId="0" xfId="0" applyNumberFormat="1" applyFont="1" applyFill="1"/>
    <xf numFmtId="2" fontId="4" fillId="0" borderId="0" xfId="0" applyNumberFormat="1" applyFont="1"/>
    <xf numFmtId="167" fontId="0" fillId="0" borderId="0" xfId="2" applyNumberFormat="1" applyFont="1"/>
    <xf numFmtId="0" fontId="3" fillId="0" borderId="0" xfId="0" applyFont="1"/>
    <xf numFmtId="0" fontId="0" fillId="0" borderId="10" xfId="0" applyBorder="1"/>
    <xf numFmtId="44" fontId="0" fillId="0" borderId="10" xfId="1" applyFont="1" applyBorder="1"/>
    <xf numFmtId="0" fontId="0" fillId="0" borderId="8" xfId="0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0" xfId="0" applyBorder="1" applyAlignment="1">
      <alignment horizontal="center"/>
    </xf>
    <xf numFmtId="166" fontId="10" fillId="0" borderId="7" xfId="5" applyNumberFormat="1" applyFont="1" applyFill="1" applyBorder="1"/>
    <xf numFmtId="166" fontId="0" fillId="0" borderId="8" xfId="1" applyNumberFormat="1" applyFont="1" applyFill="1" applyBorder="1"/>
    <xf numFmtId="166" fontId="10" fillId="0" borderId="4" xfId="5" applyNumberFormat="1" applyFont="1" applyFill="1" applyBorder="1"/>
    <xf numFmtId="166" fontId="0" fillId="0" borderId="5" xfId="1" applyNumberFormat="1" applyFont="1" applyFill="1" applyBorder="1"/>
    <xf numFmtId="166" fontId="0" fillId="0" borderId="6" xfId="1" applyNumberFormat="1" applyFont="1" applyFill="1" applyBorder="1"/>
    <xf numFmtId="0" fontId="3" fillId="0" borderId="1" xfId="0" applyFont="1" applyBorder="1" applyAlignment="1">
      <alignment horizontal="center"/>
    </xf>
    <xf numFmtId="169" fontId="0" fillId="0" borderId="6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169" fontId="0" fillId="0" borderId="12" xfId="0" applyNumberFormat="1" applyBorder="1" applyAlignment="1">
      <alignment horizontal="center"/>
    </xf>
    <xf numFmtId="0" fontId="13" fillId="0" borderId="0" xfId="0" applyFont="1"/>
    <xf numFmtId="0" fontId="9" fillId="3" borderId="1" xfId="5" applyBorder="1" applyAlignment="1"/>
    <xf numFmtId="0" fontId="4" fillId="0" borderId="0" xfId="0" applyFont="1" applyBorder="1"/>
    <xf numFmtId="2" fontId="12" fillId="0" borderId="0" xfId="4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14" fillId="4" borderId="9" xfId="0" applyFont="1" applyFill="1" applyBorder="1" applyAlignment="1">
      <alignment horizontal="center"/>
    </xf>
    <xf numFmtId="0" fontId="15" fillId="4" borderId="10" xfId="5" applyFont="1" applyFill="1" applyBorder="1" applyAlignment="1">
      <alignment horizontal="center"/>
    </xf>
    <xf numFmtId="0" fontId="0" fillId="4" borderId="10" xfId="0" applyFill="1" applyBorder="1"/>
    <xf numFmtId="0" fontId="15" fillId="4" borderId="11" xfId="5" applyFon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3" borderId="2" xfId="5" applyBorder="1" applyAlignment="1">
      <alignment horizontal="center"/>
    </xf>
    <xf numFmtId="0" fontId="9" fillId="3" borderId="3" xfId="5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9" fillId="3" borderId="1" xfId="5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 applyBorder="1"/>
  </cellXfs>
  <cellStyles count="6">
    <cellStyle name="blp_column_header" xfId="5" xr:uid="{4F58168C-5019-46EE-9D19-4D8B17EC5A3B}"/>
    <cellStyle name="Currency" xfId="1" builtinId="4"/>
    <cellStyle name="defaultsheetstyle" xfId="4" xr:uid="{FD3946D5-269A-47F3-8945-6AC3F2163250}"/>
    <cellStyle name="Normal" xfId="0" builtinId="0"/>
    <cellStyle name="Percent" xfId="2" builtinId="5"/>
    <cellStyle name="tablesubHeader" xfId="3" xr:uid="{876DB657-48C1-4F80-93B0-A6560EB653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[TF1_M6 Project.xlsm]EPS_NDPS!PivotTable3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EPS/NDPS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44546A">
              <a:lumMod val="10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EPS_NDPS!$B$1:$B$2</c:f>
              <c:strCache>
                <c:ptCount val="1"/>
                <c:pt idx="0">
                  <c:v> EPS</c:v>
                </c:pt>
              </c:strCache>
            </c:strRef>
          </c:tx>
          <c:spPr>
            <a:solidFill>
              <a:srgbClr val="44546A">
                <a:lumMod val="10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EPS_NDPS!$A$3:$A$11</c:f>
              <c:strCache>
                <c:ptCount val="8"/>
                <c:pt idx="0">
                  <c:v>A3M SM Equity</c:v>
                </c:pt>
                <c:pt idx="1">
                  <c:v>ITV LN Equity</c:v>
                </c:pt>
                <c:pt idx="2">
                  <c:v>MFEB IM Equity</c:v>
                </c:pt>
                <c:pt idx="3">
                  <c:v>MMT FP Equity</c:v>
                </c:pt>
                <c:pt idx="4">
                  <c:v>PSM GR Equity</c:v>
                </c:pt>
                <c:pt idx="5">
                  <c:v>RTL LX Equity</c:v>
                </c:pt>
                <c:pt idx="6">
                  <c:v>TFI FP Equity</c:v>
                </c:pt>
                <c:pt idx="7">
                  <c:v>TL5 SM Equity</c:v>
                </c:pt>
              </c:strCache>
            </c:strRef>
          </c:cat>
          <c:val>
            <c:numRef>
              <c:f>EPS_NDPS!$B$3:$B$11</c:f>
              <c:numCache>
                <c:formatCode>General</c:formatCode>
                <c:ptCount val="8"/>
                <c:pt idx="0">
                  <c:v>0.52600002288818404</c:v>
                </c:pt>
                <c:pt idx="1">
                  <c:v>0.10936444228263101</c:v>
                </c:pt>
                <c:pt idx="2">
                  <c:v>6.6961271703142006E-2</c:v>
                </c:pt>
                <c:pt idx="3">
                  <c:v>2.226000070571899</c:v>
                </c:pt>
                <c:pt idx="4">
                  <c:v>1.9900000095367432</c:v>
                </c:pt>
                <c:pt idx="5">
                  <c:v>8.4099998474121094</c:v>
                </c:pt>
                <c:pt idx="6">
                  <c:v>1.070000052452087</c:v>
                </c:pt>
                <c:pt idx="7">
                  <c:v>0.60000002384185802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6F-448B-9CFE-66EAE25E3501}"/>
            </c:ext>
          </c:extLst>
        </c:ser>
        <c:ser>
          <c:idx val="1"/>
          <c:order val="1"/>
          <c:tx>
            <c:strRef>
              <c:f>EPS_NDPS!$C$1:$C$2</c:f>
              <c:strCache>
                <c:ptCount val="1"/>
                <c:pt idx="0">
                  <c:v> Net Debt per Share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EPS_NDPS!$A$3:$A$11</c:f>
              <c:strCache>
                <c:ptCount val="8"/>
                <c:pt idx="0">
                  <c:v>A3M SM Equity</c:v>
                </c:pt>
                <c:pt idx="1">
                  <c:v>ITV LN Equity</c:v>
                </c:pt>
                <c:pt idx="2">
                  <c:v>MFEB IM Equity</c:v>
                </c:pt>
                <c:pt idx="3">
                  <c:v>MMT FP Equity</c:v>
                </c:pt>
                <c:pt idx="4">
                  <c:v>PSM GR Equity</c:v>
                </c:pt>
                <c:pt idx="5">
                  <c:v>RTL LX Equity</c:v>
                </c:pt>
                <c:pt idx="6">
                  <c:v>TFI FP Equity</c:v>
                </c:pt>
                <c:pt idx="7">
                  <c:v>TL5 SM Equity</c:v>
                </c:pt>
              </c:strCache>
            </c:strRef>
          </c:cat>
          <c:val>
            <c:numRef>
              <c:f>EPS_NDPS!$C$3:$C$11</c:f>
              <c:numCache>
                <c:formatCode>General</c:formatCode>
                <c:ptCount val="8"/>
                <c:pt idx="0">
                  <c:v>2.3789187924837581E-3</c:v>
                </c:pt>
                <c:pt idx="1">
                  <c:v>0.43361007968080595</c:v>
                </c:pt>
                <c:pt idx="2">
                  <c:v>0.53033864435561495</c:v>
                </c:pt>
                <c:pt idx="3">
                  <c:v>-1.6375779374598927</c:v>
                </c:pt>
                <c:pt idx="4">
                  <c:v>9.6771943376199534</c:v>
                </c:pt>
                <c:pt idx="5">
                  <c:v>2.4446809616805694</c:v>
                </c:pt>
                <c:pt idx="6">
                  <c:v>-0.64042375148308806</c:v>
                </c:pt>
                <c:pt idx="7">
                  <c:v>-0.73844189236496782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6F-448B-9CFE-66EAE25E3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964264"/>
        <c:axId val="654967872"/>
      </c:barChart>
      <c:catAx>
        <c:axId val="65496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67872"/>
        <c:crosses val="autoZero"/>
        <c:auto val="1"/>
        <c:lblAlgn val="ctr"/>
        <c:lblOffset val="100"/>
        <c:noMultiLvlLbl val="0"/>
      </c:catAx>
      <c:valAx>
        <c:axId val="6549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64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[TF1_M6 Project.xlsm]Profitability!PivotTable4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44546A">
              <a:lumMod val="10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3CCCC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Profitability!$B$1:$B$2</c:f>
              <c:strCache>
                <c:ptCount val="1"/>
                <c:pt idx="0">
                  <c:v> Return on Assets</c:v>
                </c:pt>
              </c:strCache>
            </c:strRef>
          </c:tx>
          <c:spPr>
            <a:solidFill>
              <a:srgbClr val="44546A">
                <a:lumMod val="10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Profitability!$A$3:$A$11</c:f>
              <c:strCache>
                <c:ptCount val="8"/>
                <c:pt idx="0">
                  <c:v>A3M SM Equity</c:v>
                </c:pt>
                <c:pt idx="1">
                  <c:v>ITV LN Equity</c:v>
                </c:pt>
                <c:pt idx="2">
                  <c:v>MFEB IM Equity</c:v>
                </c:pt>
                <c:pt idx="3">
                  <c:v>MMT FP Equity</c:v>
                </c:pt>
                <c:pt idx="4">
                  <c:v>PSM GR Equity</c:v>
                </c:pt>
                <c:pt idx="5">
                  <c:v>RTL LX Equity</c:v>
                </c:pt>
                <c:pt idx="6">
                  <c:v>TFI FP Equity</c:v>
                </c:pt>
                <c:pt idx="7">
                  <c:v>TL5 SM Equity</c:v>
                </c:pt>
              </c:strCache>
            </c:strRef>
          </c:cat>
          <c:val>
            <c:numRef>
              <c:f>Profitability!$B$3:$B$11</c:f>
              <c:numCache>
                <c:formatCode>General</c:formatCode>
                <c:ptCount val="8"/>
                <c:pt idx="0">
                  <c:v>8.3810660768002023</c:v>
                </c:pt>
                <c:pt idx="1">
                  <c:v>12.628341266935189</c:v>
                </c:pt>
                <c:pt idx="2">
                  <c:v>9.6542666858320132</c:v>
                </c:pt>
                <c:pt idx="3">
                  <c:v>12.689523379266321</c:v>
                </c:pt>
                <c:pt idx="4">
                  <c:v>5.490462127863359</c:v>
                </c:pt>
                <c:pt idx="5">
                  <c:v>4.8758564270375295</c:v>
                </c:pt>
                <c:pt idx="6">
                  <c:v>6.5218496080413582</c:v>
                </c:pt>
                <c:pt idx="7">
                  <c:v>12.554748990661063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A-41A9-B8CA-480265F5E823}"/>
            </c:ext>
          </c:extLst>
        </c:ser>
        <c:ser>
          <c:idx val="1"/>
          <c:order val="1"/>
          <c:tx>
            <c:strRef>
              <c:f>Profitability!$C$1:$C$2</c:f>
              <c:strCache>
                <c:ptCount val="1"/>
                <c:pt idx="0">
                  <c:v> Return on Equity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Profitability!$A$3:$A$11</c:f>
              <c:strCache>
                <c:ptCount val="8"/>
                <c:pt idx="0">
                  <c:v>A3M SM Equity</c:v>
                </c:pt>
                <c:pt idx="1">
                  <c:v>ITV LN Equity</c:v>
                </c:pt>
                <c:pt idx="2">
                  <c:v>MFEB IM Equity</c:v>
                </c:pt>
                <c:pt idx="3">
                  <c:v>MMT FP Equity</c:v>
                </c:pt>
                <c:pt idx="4">
                  <c:v>PSM GR Equity</c:v>
                </c:pt>
                <c:pt idx="5">
                  <c:v>RTL LX Equity</c:v>
                </c:pt>
                <c:pt idx="6">
                  <c:v>TFI FP Equity</c:v>
                </c:pt>
                <c:pt idx="7">
                  <c:v>TL5 SM Equity</c:v>
                </c:pt>
              </c:strCache>
            </c:strRef>
          </c:cat>
          <c:val>
            <c:numRef>
              <c:f>Profitability!$C$3:$C$11</c:f>
              <c:numCache>
                <c:formatCode>General</c:formatCode>
                <c:ptCount val="8"/>
                <c:pt idx="0">
                  <c:v>22.581848758714234</c:v>
                </c:pt>
                <c:pt idx="1">
                  <c:v>39.763259031514224</c:v>
                </c:pt>
                <c:pt idx="2">
                  <c:v>15.766369327073551</c:v>
                </c:pt>
                <c:pt idx="3">
                  <c:v>22.283803698502279</c:v>
                </c:pt>
                <c:pt idx="4">
                  <c:v>24.293828541157783</c:v>
                </c:pt>
                <c:pt idx="5">
                  <c:v>11.567442988840369</c:v>
                </c:pt>
                <c:pt idx="6">
                  <c:v>13.692096224171932</c:v>
                </c:pt>
                <c:pt idx="7">
                  <c:v>18.088042797194699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6A-41A9-B8CA-480265F5E823}"/>
            </c:ext>
          </c:extLst>
        </c:ser>
        <c:ser>
          <c:idx val="2"/>
          <c:order val="2"/>
          <c:tx>
            <c:strRef>
              <c:f>Profitability!$D$1:$D$2</c:f>
              <c:strCache>
                <c:ptCount val="1"/>
                <c:pt idx="0">
                  <c:v> Return on Invested Capital</c:v>
                </c:pt>
              </c:strCache>
            </c:strRef>
          </c:tx>
          <c:spPr>
            <a:solidFill>
              <a:srgbClr val="33CCCC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Profitability!$A$3:$A$11</c:f>
              <c:strCache>
                <c:ptCount val="8"/>
                <c:pt idx="0">
                  <c:v>A3M SM Equity</c:v>
                </c:pt>
                <c:pt idx="1">
                  <c:v>ITV LN Equity</c:v>
                </c:pt>
                <c:pt idx="2">
                  <c:v>MFEB IM Equity</c:v>
                </c:pt>
                <c:pt idx="3">
                  <c:v>MMT FP Equity</c:v>
                </c:pt>
                <c:pt idx="4">
                  <c:v>PSM GR Equity</c:v>
                </c:pt>
                <c:pt idx="5">
                  <c:v>RTL LX Equity</c:v>
                </c:pt>
                <c:pt idx="6">
                  <c:v>TFI FP Equity</c:v>
                </c:pt>
                <c:pt idx="7">
                  <c:v>TL5 SM Equity</c:v>
                </c:pt>
              </c:strCache>
            </c:strRef>
          </c:cat>
          <c:val>
            <c:numRef>
              <c:f>Profitability!$D$3:$D$11</c:f>
              <c:numCache>
                <c:formatCode>General</c:formatCode>
                <c:ptCount val="8"/>
                <c:pt idx="0">
                  <c:v>18.149828042519939</c:v>
                </c:pt>
                <c:pt idx="1">
                  <c:v>22.879433473848103</c:v>
                </c:pt>
                <c:pt idx="2">
                  <c:v>9.2093429535279654</c:v>
                </c:pt>
                <c:pt idx="3">
                  <c:v>19.257570142667994</c:v>
                </c:pt>
                <c:pt idx="4">
                  <c:v>5.8056670679631397</c:v>
                </c:pt>
                <c:pt idx="5">
                  <c:v>11.085250439131805</c:v>
                </c:pt>
                <c:pt idx="6">
                  <c:v>9.795247834804826</c:v>
                </c:pt>
                <c:pt idx="7">
                  <c:v>15.3231830625706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6A-41A9-B8CA-480265F5E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4950816"/>
        <c:axId val="654945240"/>
      </c:barChart>
      <c:catAx>
        <c:axId val="65495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45240"/>
        <c:crosses val="autoZero"/>
        <c:auto val="1"/>
        <c:lblAlgn val="ctr"/>
        <c:lblOffset val="100"/>
        <c:noMultiLvlLbl val="0"/>
      </c:catAx>
      <c:valAx>
        <c:axId val="6549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5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[TF1_M6 Project.xlsm]Profitability (2)!PivotTable5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44546A">
              <a:lumMod val="10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3CCCC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'Profitability (2)'!$B$1:$B$2</c:f>
              <c:strCache>
                <c:ptCount val="1"/>
                <c:pt idx="0">
                  <c:v> Return on Assets</c:v>
                </c:pt>
              </c:strCache>
            </c:strRef>
          </c:tx>
          <c:spPr>
            <a:solidFill>
              <a:srgbClr val="44546A">
                <a:lumMod val="10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'Profitability (2)'!$A$3:$A$5</c:f>
              <c:strCache>
                <c:ptCount val="2"/>
                <c:pt idx="0">
                  <c:v>MMT FP Equity</c:v>
                </c:pt>
                <c:pt idx="1">
                  <c:v>TFI FP Equity</c:v>
                </c:pt>
              </c:strCache>
            </c:strRef>
          </c:cat>
          <c:val>
            <c:numRef>
              <c:f>'Profitability (2)'!$B$3:$B$5</c:f>
              <c:numCache>
                <c:formatCode>General</c:formatCode>
                <c:ptCount val="2"/>
                <c:pt idx="0">
                  <c:v>12.689523379266321</c:v>
                </c:pt>
                <c:pt idx="1">
                  <c:v>6.5218496080413582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D-4091-A85F-C148D147C5FE}"/>
            </c:ext>
          </c:extLst>
        </c:ser>
        <c:ser>
          <c:idx val="1"/>
          <c:order val="1"/>
          <c:tx>
            <c:strRef>
              <c:f>'Profitability (2)'!$C$1:$C$2</c:f>
              <c:strCache>
                <c:ptCount val="1"/>
                <c:pt idx="0">
                  <c:v> Return on Equity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'Profitability (2)'!$A$3:$A$5</c:f>
              <c:strCache>
                <c:ptCount val="2"/>
                <c:pt idx="0">
                  <c:v>MMT FP Equity</c:v>
                </c:pt>
                <c:pt idx="1">
                  <c:v>TFI FP Equity</c:v>
                </c:pt>
              </c:strCache>
            </c:strRef>
          </c:cat>
          <c:val>
            <c:numRef>
              <c:f>'Profitability (2)'!$C$3:$C$5</c:f>
              <c:numCache>
                <c:formatCode>General</c:formatCode>
                <c:ptCount val="2"/>
                <c:pt idx="0">
                  <c:v>22.283803698502279</c:v>
                </c:pt>
                <c:pt idx="1">
                  <c:v>13.692096224171932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D-4091-A85F-C148D147C5FE}"/>
            </c:ext>
          </c:extLst>
        </c:ser>
        <c:ser>
          <c:idx val="2"/>
          <c:order val="2"/>
          <c:tx>
            <c:strRef>
              <c:f>'Profitability (2)'!$D$1:$D$2</c:f>
              <c:strCache>
                <c:ptCount val="1"/>
                <c:pt idx="0">
                  <c:v> Return on Invested Capital</c:v>
                </c:pt>
              </c:strCache>
            </c:strRef>
          </c:tx>
          <c:spPr>
            <a:solidFill>
              <a:srgbClr val="33CCCC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'Profitability (2)'!$A$3:$A$5</c:f>
              <c:strCache>
                <c:ptCount val="2"/>
                <c:pt idx="0">
                  <c:v>MMT FP Equity</c:v>
                </c:pt>
                <c:pt idx="1">
                  <c:v>TFI FP Equity</c:v>
                </c:pt>
              </c:strCache>
            </c:strRef>
          </c:cat>
          <c:val>
            <c:numRef>
              <c:f>'Profitability (2)'!$D$3:$D$5</c:f>
              <c:numCache>
                <c:formatCode>General</c:formatCode>
                <c:ptCount val="2"/>
                <c:pt idx="0">
                  <c:v>19.257570142667994</c:v>
                </c:pt>
                <c:pt idx="1">
                  <c:v>9.795247834804826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6D-4091-A85F-C148D147C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52654400"/>
        <c:axId val="652658008"/>
      </c:barChart>
      <c:catAx>
        <c:axId val="65265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58008"/>
        <c:crosses val="autoZero"/>
        <c:auto val="1"/>
        <c:lblAlgn val="ctr"/>
        <c:lblOffset val="100"/>
        <c:noMultiLvlLbl val="0"/>
      </c:catAx>
      <c:valAx>
        <c:axId val="65265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5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[TF1_M6 Project.xlsm]Growth!PivotTable6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EBITDA/Net Profit Growth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44546A">
              <a:lumMod val="10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Growth!$B$1:$B$2</c:f>
              <c:strCache>
                <c:ptCount val="1"/>
                <c:pt idx="0">
                  <c:v> EBITDA Growth (%)</c:v>
                </c:pt>
              </c:strCache>
            </c:strRef>
          </c:tx>
          <c:spPr>
            <a:solidFill>
              <a:srgbClr val="44546A">
                <a:lumMod val="10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Growth!$A$3:$A$11</c:f>
              <c:strCache>
                <c:ptCount val="8"/>
                <c:pt idx="0">
                  <c:v>ATRESMEDIA CORP DE MEDIOS DE</c:v>
                </c:pt>
                <c:pt idx="1">
                  <c:v>ITV PLC</c:v>
                </c:pt>
                <c:pt idx="2">
                  <c:v>M6-METROPOLE TELEVISION</c:v>
                </c:pt>
                <c:pt idx="3">
                  <c:v>MEDIASET ESPANA COMUNICACION</c:v>
                </c:pt>
                <c:pt idx="4">
                  <c:v>MFE-MEDIAFOREUROPE NV-CL B</c:v>
                </c:pt>
                <c:pt idx="5">
                  <c:v>PROSIEBENSAT.1 MEDIA SE</c:v>
                </c:pt>
                <c:pt idx="6">
                  <c:v>RTL GROUP</c:v>
                </c:pt>
                <c:pt idx="7">
                  <c:v>TELEVISION FRANCAISE (T.F.1)</c:v>
                </c:pt>
              </c:strCache>
            </c:strRef>
          </c:cat>
          <c:val>
            <c:numRef>
              <c:f>Growth!$B$3:$B$11</c:f>
              <c:numCache>
                <c:formatCode>General</c:formatCode>
                <c:ptCount val="8"/>
                <c:pt idx="0">
                  <c:v>131.98762775685847</c:v>
                </c:pt>
                <c:pt idx="1">
                  <c:v>29.006410256410255</c:v>
                </c:pt>
                <c:pt idx="2">
                  <c:v>17.390153520381169</c:v>
                </c:pt>
                <c:pt idx="3">
                  <c:v>-9.5640872565127921</c:v>
                </c:pt>
                <c:pt idx="4">
                  <c:v>18.065848621066721</c:v>
                </c:pt>
                <c:pt idx="5">
                  <c:v>19.094766619519095</c:v>
                </c:pt>
                <c:pt idx="6">
                  <c:v>3.3620450125034687</c:v>
                </c:pt>
                <c:pt idx="7">
                  <c:v>34.96797804208601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1FE-82F7-7AFB638051D5}"/>
            </c:ext>
          </c:extLst>
        </c:ser>
        <c:ser>
          <c:idx val="1"/>
          <c:order val="1"/>
          <c:tx>
            <c:strRef>
              <c:f>Growth!$C$1:$C$2</c:f>
              <c:strCache>
                <c:ptCount val="1"/>
                <c:pt idx="0">
                  <c:v> Net Income Growth (%)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Growth!$A$3:$A$11</c:f>
              <c:strCache>
                <c:ptCount val="8"/>
                <c:pt idx="0">
                  <c:v>ATRESMEDIA CORP DE MEDIOS DE</c:v>
                </c:pt>
                <c:pt idx="1">
                  <c:v>ITV PLC</c:v>
                </c:pt>
                <c:pt idx="2">
                  <c:v>M6-METROPOLE TELEVISION</c:v>
                </c:pt>
                <c:pt idx="3">
                  <c:v>MEDIASET ESPANA COMUNICACION</c:v>
                </c:pt>
                <c:pt idx="4">
                  <c:v>MFE-MEDIAFOREUROPE NV-CL B</c:v>
                </c:pt>
                <c:pt idx="5">
                  <c:v>PROSIEBENSAT.1 MEDIA SE</c:v>
                </c:pt>
                <c:pt idx="6">
                  <c:v>RTL GROUP</c:v>
                </c:pt>
                <c:pt idx="7">
                  <c:v>TELEVISION FRANCAISE (T.F.1)</c:v>
                </c:pt>
              </c:strCache>
            </c:strRef>
          </c:cat>
          <c:val>
            <c:numRef>
              <c:f>Growth!$C$3:$C$11</c:f>
              <c:numCache>
                <c:formatCode>General</c:formatCode>
                <c:ptCount val="8"/>
                <c:pt idx="0">
                  <c:v>193.48592000409971</c:v>
                </c:pt>
                <c:pt idx="1">
                  <c:v>40.031941098448968</c:v>
                </c:pt>
                <c:pt idx="2">
                  <c:v>15.274255111071094</c:v>
                </c:pt>
                <c:pt idx="3">
                  <c:v>20.575127779751611</c:v>
                </c:pt>
                <c:pt idx="4">
                  <c:v>314.67732442077278</c:v>
                </c:pt>
                <c:pt idx="5">
                  <c:v>60.049754360217712</c:v>
                </c:pt>
                <c:pt idx="6">
                  <c:v>0.22127460080642672</c:v>
                </c:pt>
                <c:pt idx="7">
                  <c:v>116.5039572440615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1FE-82F7-7AFB63805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77778640"/>
        <c:axId val="577779296"/>
      </c:barChart>
      <c:catAx>
        <c:axId val="5777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79296"/>
        <c:crosses val="autoZero"/>
        <c:auto val="1"/>
        <c:lblAlgn val="ctr"/>
        <c:lblOffset val="100"/>
        <c:noMultiLvlLbl val="0"/>
      </c:catAx>
      <c:valAx>
        <c:axId val="57777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77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Valuation summary - Equity Value per share (EUR)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dLbls>
            <c:numFmt formatCode="0\.0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'Analysis (2)'!$A$46:$A$49</c:f>
              <c:strCache>
                <c:ptCount val="4"/>
                <c:pt idx="0">
                  <c:v>EV/EBITDA</c:v>
                </c:pt>
                <c:pt idx="1">
                  <c:v>EV/EBIT</c:v>
                </c:pt>
                <c:pt idx="2">
                  <c:v>P/E</c:v>
                </c:pt>
                <c:pt idx="3">
                  <c:v>52 hi/low</c:v>
                </c:pt>
              </c:strCache>
            </c:strRef>
          </c:cat>
          <c:val>
            <c:numRef>
              <c:f>'Analysis (2)'!$B$46:$B$49</c:f>
              <c:numCache>
                <c:formatCode>#\ ##\ 000\ \€</c:formatCode>
                <c:ptCount val="4"/>
                <c:pt idx="0">
                  <c:v>12.478577543979132</c:v>
                </c:pt>
                <c:pt idx="1">
                  <c:v>15.205437181853961</c:v>
                </c:pt>
                <c:pt idx="2">
                  <c:v>12.633130767113322</c:v>
                </c:pt>
                <c:pt idx="3">
                  <c:v>15.340000152587891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D-4079-AE3D-F46310308B9F}"/>
            </c:ext>
          </c:extLst>
        </c:ser>
        <c:ser>
          <c:idx val="1"/>
          <c:order val="1"/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'Analysis (2)'!$A$46:$A$49</c:f>
              <c:strCache>
                <c:ptCount val="4"/>
                <c:pt idx="0">
                  <c:v>EV/EBITDA</c:v>
                </c:pt>
                <c:pt idx="1">
                  <c:v>EV/EBIT</c:v>
                </c:pt>
                <c:pt idx="2">
                  <c:v>P/E</c:v>
                </c:pt>
                <c:pt idx="3">
                  <c:v>52 hi/low</c:v>
                </c:pt>
              </c:strCache>
            </c:strRef>
          </c:cat>
          <c:val>
            <c:numRef>
              <c:f>'Analysis (2)'!$C$46:$C$49</c:f>
              <c:numCache>
                <c:formatCode>#\ ##\ 000\ \€</c:formatCode>
                <c:ptCount val="4"/>
                <c:pt idx="0">
                  <c:v>9.6478481056716632</c:v>
                </c:pt>
                <c:pt idx="1">
                  <c:v>9.443954872158363</c:v>
                </c:pt>
                <c:pt idx="2">
                  <c:v>11.130000352859494</c:v>
                </c:pt>
                <c:pt idx="3">
                  <c:v>4.1000003814697266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BD-4079-AE3D-F46310308B9F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</a:extLst>
          </c:spPr>
          <c:invertIfNegative val="0"/>
          <c:dLbls>
            <c:numFmt formatCode="0\.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'Analysis (2)'!$A$46:$A$49</c:f>
              <c:strCache>
                <c:ptCount val="4"/>
                <c:pt idx="0">
                  <c:v>EV/EBITDA</c:v>
                </c:pt>
                <c:pt idx="1">
                  <c:v>EV/EBIT</c:v>
                </c:pt>
                <c:pt idx="2">
                  <c:v>P/E</c:v>
                </c:pt>
                <c:pt idx="3">
                  <c:v>52 hi/low</c:v>
                </c:pt>
              </c:strCache>
            </c:strRef>
          </c:cat>
          <c:val>
            <c:numRef>
              <c:f>'Analysis (2)'!$D$46:$D$49</c:f>
              <c:numCache>
                <c:formatCode>#\ ##\ 000\ \€</c:formatCode>
                <c:ptCount val="4"/>
                <c:pt idx="0">
                  <c:v>22.126425649650795</c:v>
                </c:pt>
                <c:pt idx="1">
                  <c:v>24.649392054012324</c:v>
                </c:pt>
                <c:pt idx="2">
                  <c:v>23.763131119972815</c:v>
                </c:pt>
                <c:pt idx="3">
                  <c:v>19.440000534057617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BD-4079-AE3D-F46310308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7808160"/>
        <c:axId val="577808816"/>
      </c:barChart>
      <c:catAx>
        <c:axId val="577808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808816"/>
        <c:crosses val="autoZero"/>
        <c:auto val="1"/>
        <c:lblAlgn val="ctr"/>
        <c:lblOffset val="100"/>
        <c:noMultiLvlLbl val="0"/>
      </c:catAx>
      <c:valAx>
        <c:axId val="577808816"/>
        <c:scaling>
          <c:orientation val="minMax"/>
          <c:max val="35"/>
          <c:min val="5"/>
        </c:scaling>
        <c:delete val="1"/>
        <c:axPos val="b"/>
        <c:numFmt formatCode="#\ ##\ 000\ \€" sourceLinked="1"/>
        <c:majorTickMark val="none"/>
        <c:minorTickMark val="none"/>
        <c:tickLblPos val="nextTo"/>
        <c:crossAx val="5778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317500</xdr:colOff>
      <xdr:row>13</xdr:row>
      <xdr:rowOff>162560</xdr:rowOff>
    </xdr:from>
    <xdr:to>
      <xdr:col>10</xdr:col>
      <xdr:colOff>373380</xdr:colOff>
      <xdr:row>48</xdr:row>
      <xdr:rowOff>111760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2CB9A3-971B-4C62-BC8F-45B8F621D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317500</xdr:colOff>
      <xdr:row>13</xdr:row>
      <xdr:rowOff>162560</xdr:rowOff>
    </xdr:from>
    <xdr:to>
      <xdr:col>8</xdr:col>
      <xdr:colOff>441960</xdr:colOff>
      <xdr:row>48</xdr:row>
      <xdr:rowOff>111760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6FE98D-A6F1-4F90-B223-033E89408D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363220</xdr:colOff>
      <xdr:row>13</xdr:row>
      <xdr:rowOff>162560</xdr:rowOff>
    </xdr:from>
    <xdr:to>
      <xdr:col>8</xdr:col>
      <xdr:colOff>487680</xdr:colOff>
      <xdr:row>48</xdr:row>
      <xdr:rowOff>111760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A9A2B3-3F66-4B68-99AB-450C8694D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13</xdr:row>
      <xdr:rowOff>162560</xdr:rowOff>
    </xdr:from>
    <xdr:to>
      <xdr:col>7</xdr:col>
      <xdr:colOff>358140</xdr:colOff>
      <xdr:row>48</xdr:row>
      <xdr:rowOff>111760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D64179-3756-46C8-8D94-26F1FA03A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60960</xdr:rowOff>
        </xdr:from>
        <xdr:to>
          <xdr:col>5</xdr:col>
          <xdr:colOff>411480</xdr:colOff>
          <xdr:row>13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the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16</xdr:row>
          <xdr:rowOff>7620</xdr:rowOff>
        </xdr:from>
        <xdr:to>
          <xdr:col>5</xdr:col>
          <xdr:colOff>411480</xdr:colOff>
          <xdr:row>19</xdr:row>
          <xdr:rowOff>121920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0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the word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677092</xdr:colOff>
      <xdr:row>13</xdr:row>
      <xdr:rowOff>0</xdr:rowOff>
    </xdr:from>
    <xdr:to>
      <xdr:col>8</xdr:col>
      <xdr:colOff>246017</xdr:colOff>
      <xdr:row>23</xdr:row>
      <xdr:rowOff>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/>
      </xdr:nvGrpSpPr>
      <xdr:grpSpPr>
        <a:xfrm>
          <a:off x="5204268" y="2447365"/>
          <a:ext cx="2410737" cy="1792941"/>
          <a:chOff x="5242560" y="2377440"/>
          <a:chExt cx="2072640" cy="182880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5242560" y="2377440"/>
            <a:ext cx="1257300" cy="182880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Rectangle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6499860" y="3116580"/>
            <a:ext cx="815340" cy="73152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/>
        </xdr:nvSpPr>
        <xdr:spPr>
          <a:xfrm>
            <a:off x="6499860" y="2377440"/>
            <a:ext cx="815340" cy="55626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6499860" y="4015740"/>
            <a:ext cx="815340" cy="19050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1" name="Rectangl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/>
        </xdr:nvSpPr>
        <xdr:spPr>
          <a:xfrm>
            <a:off x="7094221" y="3848100"/>
            <a:ext cx="220979" cy="16764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/>
        </xdr:nvSpPr>
        <xdr:spPr>
          <a:xfrm>
            <a:off x="7094221" y="2933700"/>
            <a:ext cx="220979" cy="18288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15</xdr:row>
          <xdr:rowOff>167640</xdr:rowOff>
        </xdr:from>
        <xdr:to>
          <xdr:col>6</xdr:col>
          <xdr:colOff>236220</xdr:colOff>
          <xdr:row>17</xdr:row>
          <xdr:rowOff>53340</xdr:rowOff>
        </xdr:to>
        <xdr:sp macro="" textlink="">
          <xdr:nvSpPr>
            <xdr:cNvPr id="90119" name="SpinButton1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01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20</xdr:row>
          <xdr:rowOff>144780</xdr:rowOff>
        </xdr:from>
        <xdr:to>
          <xdr:col>6</xdr:col>
          <xdr:colOff>243840</xdr:colOff>
          <xdr:row>22</xdr:row>
          <xdr:rowOff>30480</xdr:rowOff>
        </xdr:to>
        <xdr:sp macro="" textlink="">
          <xdr:nvSpPr>
            <xdr:cNvPr id="90121" name="SpinButton2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01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7620</xdr:colOff>
      <xdr:row>19</xdr:row>
      <xdr:rowOff>45720</xdr:rowOff>
    </xdr:from>
    <xdr:to>
      <xdr:col>8</xdr:col>
      <xdr:colOff>213360</xdr:colOff>
      <xdr:row>20</xdr:row>
      <xdr:rowOff>160020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50180" y="3520440"/>
          <a:ext cx="206502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Low Multiple</a:t>
          </a:r>
          <a:r>
            <a:rPr lang="en-US" sz="1400" b="1" baseline="0">
              <a:solidFill>
                <a:schemeClr val="bg1"/>
              </a:solidFill>
            </a:rPr>
            <a:t> 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7620</xdr:colOff>
      <xdr:row>14</xdr:row>
      <xdr:rowOff>76200</xdr:rowOff>
    </xdr:from>
    <xdr:to>
      <xdr:col>8</xdr:col>
      <xdr:colOff>205740</xdr:colOff>
      <xdr:row>16</xdr:row>
      <xdr:rowOff>7620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5250180" y="2636520"/>
          <a:ext cx="20574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High Multiple</a:t>
          </a:r>
          <a:r>
            <a:rPr lang="en-US" sz="1400" b="1" baseline="0">
              <a:solidFill>
                <a:schemeClr val="bg1"/>
              </a:solidFill>
            </a:rPr>
            <a:t> 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594360</xdr:colOff>
      <xdr:row>13</xdr:row>
      <xdr:rowOff>0</xdr:rowOff>
    </xdr:from>
    <xdr:to>
      <xdr:col>12</xdr:col>
      <xdr:colOff>228600</xdr:colOff>
      <xdr:row>23</xdr:row>
      <xdr:rowOff>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7879528" y="2447365"/>
          <a:ext cx="2317825" cy="1792941"/>
          <a:chOff x="5242560" y="2377440"/>
          <a:chExt cx="2072640" cy="1828800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5242560" y="2377440"/>
            <a:ext cx="1257300" cy="182880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6499860" y="3116580"/>
            <a:ext cx="815340" cy="73152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6499860" y="2377440"/>
            <a:ext cx="815340" cy="55626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6499860" y="4015740"/>
            <a:ext cx="815340" cy="19050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7094221" y="3848100"/>
            <a:ext cx="220979" cy="16764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7094221" y="2933700"/>
            <a:ext cx="220979" cy="18288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579120</xdr:colOff>
      <xdr:row>13</xdr:row>
      <xdr:rowOff>0</xdr:rowOff>
    </xdr:from>
    <xdr:to>
      <xdr:col>16</xdr:col>
      <xdr:colOff>213360</xdr:colOff>
      <xdr:row>23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0464053" y="2447365"/>
          <a:ext cx="2048883" cy="1792941"/>
          <a:chOff x="5242560" y="2377440"/>
          <a:chExt cx="2072640" cy="1828800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5242560" y="2377440"/>
            <a:ext cx="1257300" cy="182880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6499860" y="3116580"/>
            <a:ext cx="815340" cy="73152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6499860" y="2377440"/>
            <a:ext cx="815340" cy="55626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>
            <a:off x="6499860" y="4015740"/>
            <a:ext cx="815340" cy="19050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7094221" y="3848100"/>
            <a:ext cx="220979" cy="16764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7094221" y="2933700"/>
            <a:ext cx="220979" cy="182880"/>
          </a:xfrm>
          <a:prstGeom prst="rect">
            <a:avLst/>
          </a:prstGeom>
          <a:solidFill>
            <a:schemeClr val="tx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723900</xdr:colOff>
      <xdr:row>12</xdr:row>
      <xdr:rowOff>160020</xdr:rowOff>
    </xdr:from>
    <xdr:to>
      <xdr:col>8</xdr:col>
      <xdr:colOff>213360</xdr:colOff>
      <xdr:row>14</xdr:row>
      <xdr:rowOff>91440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5234940" y="2354580"/>
          <a:ext cx="208026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</a:rPr>
            <a:t>EV/EBITDA </a:t>
          </a:r>
        </a:p>
      </xdr:txBody>
    </xdr:sp>
    <xdr:clientData/>
  </xdr:twoCellAnchor>
  <xdr:twoCellAnchor>
    <xdr:from>
      <xdr:col>8</xdr:col>
      <xdr:colOff>586740</xdr:colOff>
      <xdr:row>12</xdr:row>
      <xdr:rowOff>167640</xdr:rowOff>
    </xdr:from>
    <xdr:to>
      <xdr:col>12</xdr:col>
      <xdr:colOff>228600</xdr:colOff>
      <xdr:row>14</xdr:row>
      <xdr:rowOff>99060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7688580" y="2362200"/>
          <a:ext cx="208026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</a:rPr>
            <a:t>EV/EBIT </a:t>
          </a:r>
        </a:p>
      </xdr:txBody>
    </xdr:sp>
    <xdr:clientData/>
  </xdr:twoCellAnchor>
  <xdr:twoCellAnchor>
    <xdr:from>
      <xdr:col>8</xdr:col>
      <xdr:colOff>601980</xdr:colOff>
      <xdr:row>14</xdr:row>
      <xdr:rowOff>91440</xdr:rowOff>
    </xdr:from>
    <xdr:to>
      <xdr:col>12</xdr:col>
      <xdr:colOff>220980</xdr:colOff>
      <xdr:row>16</xdr:row>
      <xdr:rowOff>22860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7703820" y="2651760"/>
          <a:ext cx="20574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High Multiple</a:t>
          </a:r>
          <a:r>
            <a:rPr lang="en-US" sz="1400" b="1" baseline="0">
              <a:solidFill>
                <a:schemeClr val="bg1"/>
              </a:solidFill>
            </a:rPr>
            <a:t> 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175260</xdr:colOff>
          <xdr:row>15</xdr:row>
          <xdr:rowOff>167640</xdr:rowOff>
        </xdr:from>
        <xdr:to>
          <xdr:col>10</xdr:col>
          <xdr:colOff>251460</xdr:colOff>
          <xdr:row>17</xdr:row>
          <xdr:rowOff>53340</xdr:rowOff>
        </xdr:to>
        <xdr:sp macro="" textlink="">
          <xdr:nvSpPr>
            <xdr:cNvPr id="90122" name="SpinButton3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01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20</xdr:row>
          <xdr:rowOff>160020</xdr:rowOff>
        </xdr:from>
        <xdr:to>
          <xdr:col>10</xdr:col>
          <xdr:colOff>259080</xdr:colOff>
          <xdr:row>22</xdr:row>
          <xdr:rowOff>45720</xdr:rowOff>
        </xdr:to>
        <xdr:sp macro="" textlink="">
          <xdr:nvSpPr>
            <xdr:cNvPr id="90123" name="SpinButton4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01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586740</xdr:colOff>
      <xdr:row>19</xdr:row>
      <xdr:rowOff>45720</xdr:rowOff>
    </xdr:from>
    <xdr:to>
      <xdr:col>12</xdr:col>
      <xdr:colOff>228600</xdr:colOff>
      <xdr:row>20</xdr:row>
      <xdr:rowOff>160020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7688580" y="3520440"/>
          <a:ext cx="208026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Low Multiple</a:t>
          </a:r>
          <a:r>
            <a:rPr lang="en-US" sz="1400" b="1" baseline="0">
              <a:solidFill>
                <a:schemeClr val="bg1"/>
              </a:solidFill>
            </a:rPr>
            <a:t> 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15</xdr:row>
          <xdr:rowOff>167640</xdr:rowOff>
        </xdr:from>
        <xdr:to>
          <xdr:col>15</xdr:col>
          <xdr:colOff>30480</xdr:colOff>
          <xdr:row>17</xdr:row>
          <xdr:rowOff>53340</xdr:rowOff>
        </xdr:to>
        <xdr:sp macro="" textlink="">
          <xdr:nvSpPr>
            <xdr:cNvPr id="90124" name="SpinButton5" hidden="1">
              <a:extLst>
                <a:ext uri="{63B3BB69-23CF-44E3-9099-C40C66FF867C}">
                  <a14:compatExt spid="_x0000_s90124"/>
                </a:ext>
                <a:ext uri="{FF2B5EF4-FFF2-40B4-BE49-F238E27FC236}">
                  <a16:creationId xmlns:a16="http://schemas.microsoft.com/office/drawing/2014/main" id="{00000000-0008-0000-0100-00000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182880</xdr:colOff>
          <xdr:row>20</xdr:row>
          <xdr:rowOff>152400</xdr:rowOff>
        </xdr:from>
        <xdr:to>
          <xdr:col>15</xdr:col>
          <xdr:colOff>83820</xdr:colOff>
          <xdr:row>22</xdr:row>
          <xdr:rowOff>38100</xdr:rowOff>
        </xdr:to>
        <xdr:sp macro="" textlink="">
          <xdr:nvSpPr>
            <xdr:cNvPr id="90125" name="SpinButton6" hidden="1">
              <a:extLst>
                <a:ext uri="{63B3BB69-23CF-44E3-9099-C40C66FF867C}">
                  <a14:compatExt spid="_x0000_s90125"/>
                </a:ext>
                <a:ext uri="{FF2B5EF4-FFF2-40B4-BE49-F238E27FC236}">
                  <a16:creationId xmlns:a16="http://schemas.microsoft.com/office/drawing/2014/main" id="{00000000-0008-0000-0100-00000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579120</xdr:colOff>
      <xdr:row>14</xdr:row>
      <xdr:rowOff>68580</xdr:rowOff>
    </xdr:from>
    <xdr:to>
      <xdr:col>16</xdr:col>
      <xdr:colOff>198120</xdr:colOff>
      <xdr:row>16</xdr:row>
      <xdr:rowOff>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119360" y="2628900"/>
          <a:ext cx="205740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High Multiple</a:t>
          </a:r>
          <a:r>
            <a:rPr lang="en-US" sz="1400" b="1" baseline="0">
              <a:solidFill>
                <a:schemeClr val="bg1"/>
              </a:solidFill>
            </a:rPr>
            <a:t> 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586740</xdr:colOff>
      <xdr:row>19</xdr:row>
      <xdr:rowOff>38100</xdr:rowOff>
    </xdr:from>
    <xdr:to>
      <xdr:col>16</xdr:col>
      <xdr:colOff>228600</xdr:colOff>
      <xdr:row>20</xdr:row>
      <xdr:rowOff>152400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10126980" y="3512820"/>
          <a:ext cx="208026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/>
              </a:solidFill>
            </a:rPr>
            <a:t>Low Multiple</a:t>
          </a:r>
          <a:r>
            <a:rPr lang="en-US" sz="1400" b="1" baseline="0">
              <a:solidFill>
                <a:schemeClr val="bg1"/>
              </a:solidFill>
            </a:rPr>
            <a:t> 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571500</xdr:colOff>
      <xdr:row>12</xdr:row>
      <xdr:rowOff>175260</xdr:rowOff>
    </xdr:from>
    <xdr:to>
      <xdr:col>16</xdr:col>
      <xdr:colOff>213360</xdr:colOff>
      <xdr:row>14</xdr:row>
      <xdr:rowOff>106680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10111740" y="2369820"/>
          <a:ext cx="208026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</a:rPr>
            <a:t>P/E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26</xdr:row>
          <xdr:rowOff>30480</xdr:rowOff>
        </xdr:from>
        <xdr:to>
          <xdr:col>11</xdr:col>
          <xdr:colOff>548640</xdr:colOff>
          <xdr:row>30</xdr:row>
          <xdr:rowOff>38100</xdr:rowOff>
        </xdr:to>
        <xdr:sp macro="" textlink="">
          <xdr:nvSpPr>
            <xdr:cNvPr id="90138" name="Button 26" hidden="1">
              <a:extLst>
                <a:ext uri="{63B3BB69-23CF-44E3-9099-C40C66FF867C}">
                  <a14:compatExt spid="_x0000_s90138"/>
                </a:ext>
                <a:ext uri="{FF2B5EF4-FFF2-40B4-BE49-F238E27FC236}">
                  <a16:creationId xmlns:a16="http://schemas.microsoft.com/office/drawing/2014/main" id="{00000000-0008-0000-0100-00001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the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68580</xdr:rowOff>
        </xdr:from>
        <xdr:to>
          <xdr:col>10</xdr:col>
          <xdr:colOff>38100</xdr:colOff>
          <xdr:row>35</xdr:row>
          <xdr:rowOff>22860</xdr:rowOff>
        </xdr:to>
        <xdr:sp macro="" textlink="">
          <xdr:nvSpPr>
            <xdr:cNvPr id="90141" name="ComboBox1" hidden="1">
              <a:extLst>
                <a:ext uri="{63B3BB69-23CF-44E3-9099-C40C66FF867C}">
                  <a14:compatExt spid="_x0000_s90141"/>
                </a:ext>
                <a:ext uri="{FF2B5EF4-FFF2-40B4-BE49-F238E27FC236}">
                  <a16:creationId xmlns:a16="http://schemas.microsoft.com/office/drawing/2014/main" id="{00000000-0008-0000-0100-00001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68580</xdr:rowOff>
        </xdr:from>
        <xdr:to>
          <xdr:col>12</xdr:col>
          <xdr:colOff>205740</xdr:colOff>
          <xdr:row>35</xdr:row>
          <xdr:rowOff>22860</xdr:rowOff>
        </xdr:to>
        <xdr:sp macro="" textlink="">
          <xdr:nvSpPr>
            <xdr:cNvPr id="90143" name="ComboBox2" hidden="1">
              <a:extLst>
                <a:ext uri="{63B3BB69-23CF-44E3-9099-C40C66FF867C}">
                  <a14:compatExt spid="_x0000_s90143"/>
                </a:ext>
                <a:ext uri="{FF2B5EF4-FFF2-40B4-BE49-F238E27FC236}">
                  <a16:creationId xmlns:a16="http://schemas.microsoft.com/office/drawing/2014/main" id="{00000000-0008-0000-0100-00001F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39</xdr:row>
      <xdr:rowOff>0</xdr:rowOff>
    </xdr:from>
    <xdr:to>
      <xdr:col>15</xdr:col>
      <xdr:colOff>363519</xdr:colOff>
      <xdr:row>56</xdr:row>
      <xdr:rowOff>152400</xdr:rowOff>
    </xdr:to>
    <xdr:grpSp>
      <xdr:nvGrpSpPr>
        <xdr:cNvPr id="93" name="Football Field Chart">
          <a:extLst>
            <a:ext uri="{FF2B5EF4-FFF2-40B4-BE49-F238E27FC236}">
              <a16:creationId xmlns:a16="http://schemas.microsoft.com/office/drawing/2014/main" id="{2A76F34B-BF7D-4281-A119-79BA7EC56202}"/>
            </a:ext>
          </a:extLst>
        </xdr:cNvPr>
        <xdr:cNvGrpSpPr/>
      </xdr:nvGrpSpPr>
      <xdr:grpSpPr>
        <a:xfrm>
          <a:off x="5369859" y="7109012"/>
          <a:ext cx="6549166" cy="3200400"/>
          <a:chOff x="5364480" y="7246620"/>
          <a:chExt cx="6550959" cy="3261360"/>
        </a:xfrm>
      </xdr:grpSpPr>
      <xdr:graphicFrame macro="">
        <xdr:nvGraphicFramePr>
          <xdr:cNvPr id="97" name="Summary Analysis">
            <a:extLst>
              <a:ext uri="{FF2B5EF4-FFF2-40B4-BE49-F238E27FC236}">
                <a16:creationId xmlns:a16="http://schemas.microsoft.com/office/drawing/2014/main" id="{85C982D2-3D3B-4DE6-BE08-B3F8613AE080}"/>
              </a:ext>
            </a:extLst>
          </xdr:cNvPr>
          <xdr:cNvGraphicFramePr>
            <a:graphicFrameLocks/>
          </xdr:cNvGraphicFramePr>
        </xdr:nvGraphicFramePr>
        <xdr:xfrm>
          <a:off x="5364480" y="7246620"/>
          <a:ext cx="6550959" cy="31965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87" name="Design_1">
            <a:extLst>
              <a:ext uri="{FF2B5EF4-FFF2-40B4-BE49-F238E27FC236}">
                <a16:creationId xmlns:a16="http://schemas.microsoft.com/office/drawing/2014/main" id="{8FAEB0B1-0704-4664-92AA-168FDC76F153}"/>
              </a:ext>
            </a:extLst>
          </xdr:cNvPr>
          <xdr:cNvSpPr/>
        </xdr:nvSpPr>
        <xdr:spPr>
          <a:xfrm>
            <a:off x="8064500" y="7764780"/>
            <a:ext cx="762000" cy="2369820"/>
          </a:xfrm>
          <a:prstGeom prst="rect">
            <a:avLst/>
          </a:prstGeom>
          <a:solidFill>
            <a:schemeClr val="accent1">
              <a:lumMod val="60000"/>
              <a:lumOff val="40000"/>
              <a:alpha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Design_2">
            <a:extLst>
              <a:ext uri="{FF2B5EF4-FFF2-40B4-BE49-F238E27FC236}">
                <a16:creationId xmlns:a16="http://schemas.microsoft.com/office/drawing/2014/main" id="{92470350-B7E6-465B-822A-BF958A8C34A6}"/>
              </a:ext>
            </a:extLst>
          </xdr:cNvPr>
          <xdr:cNvSpPr/>
        </xdr:nvSpPr>
        <xdr:spPr>
          <a:xfrm>
            <a:off x="8064500" y="10134600"/>
            <a:ext cx="1630680" cy="373380"/>
          </a:xfrm>
          <a:prstGeom prst="rect">
            <a:avLst/>
          </a:prstGeom>
          <a:solidFill>
            <a:schemeClr val="accent1">
              <a:lumMod val="60000"/>
              <a:lumOff val="40000"/>
              <a:alpha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Range">
            <a:extLst>
              <a:ext uri="{FF2B5EF4-FFF2-40B4-BE49-F238E27FC236}">
                <a16:creationId xmlns:a16="http://schemas.microsoft.com/office/drawing/2014/main" id="{871A5F5F-61D6-4D5F-BC16-36167D77186B}"/>
              </a:ext>
            </a:extLst>
          </xdr:cNvPr>
          <xdr:cNvSpPr txBox="1"/>
        </xdr:nvSpPr>
        <xdr:spPr>
          <a:xfrm>
            <a:off x="8064500" y="10134600"/>
            <a:ext cx="1714500" cy="3429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r>
              <a:rPr lang="en-US" sz="1200" b="1"/>
              <a:t>Range 16,38€ - 19,11€</a:t>
            </a:r>
          </a:p>
        </xdr:txBody>
      </xdr:sp>
      <xdr:cxnSp macro="">
        <xdr:nvCxnSpPr>
          <xdr:cNvPr id="91" name="Connector">
            <a:extLst>
              <a:ext uri="{FF2B5EF4-FFF2-40B4-BE49-F238E27FC236}">
                <a16:creationId xmlns:a16="http://schemas.microsoft.com/office/drawing/2014/main" id="{8333BF48-98EE-4A66-8B0D-BEBF9D906B4B}"/>
              </a:ext>
            </a:extLst>
          </xdr:cNvPr>
          <xdr:cNvCxnSpPr/>
        </xdr:nvCxnSpPr>
        <xdr:spPr>
          <a:xfrm>
            <a:off x="8305800" y="7683500"/>
            <a:ext cx="0" cy="2552700"/>
          </a:xfrm>
          <a:prstGeom prst="straightConnector1">
            <a:avLst/>
          </a:prstGeom>
          <a:ln w="15875">
            <a:solidFill>
              <a:schemeClr val="accent2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2" name="CurrentPrice">
            <a:extLst>
              <a:ext uri="{FF2B5EF4-FFF2-40B4-BE49-F238E27FC236}">
                <a16:creationId xmlns:a16="http://schemas.microsoft.com/office/drawing/2014/main" id="{44295047-078F-46E9-905A-1AB98506EFC0}"/>
              </a:ext>
            </a:extLst>
          </xdr:cNvPr>
          <xdr:cNvSpPr txBox="1"/>
        </xdr:nvSpPr>
        <xdr:spPr>
          <a:xfrm>
            <a:off x="7759700" y="7493000"/>
            <a:ext cx="1663700" cy="177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t"/>
          <a:lstStyle/>
          <a:p>
            <a:r>
              <a:rPr lang="en-US" sz="1100" b="1"/>
              <a:t>Current Price - 17,79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Bertolla" refreshedDate="44680.605322106479" createdVersion="3" refreshedVersion="7" minRefreshableVersion="3" recordCount="8" xr:uid="{FB785A0B-6868-4D4E-869C-43A22D341EC1}">
  <cacheSource type="worksheet">
    <worksheetSource ref="A1:AV9" sheet="Analysis"/>
  </cacheSource>
  <cacheFields count="48">
    <cacheField name="Ticker" numFmtId="0">
      <sharedItems count="8">
        <s v="MMT FP Equity"/>
        <s v="TFI FP Equity"/>
        <s v="PSM GR Equity"/>
        <s v="RTL LX Equity"/>
        <s v="MFEB IM Equity"/>
        <s v="TL5 SM Equity"/>
        <s v="ITV LN Equity"/>
        <s v="A3M SM Equity"/>
      </sharedItems>
    </cacheField>
    <cacheField name="Name" numFmtId="0">
      <sharedItems/>
    </cacheField>
    <cacheField name="Mkt Cap (EUR M)" numFmtId="2">
      <sharedItems containsSemiMixedTypes="0" containsString="0" containsNumber="1" minValue="853.72144960000003" maxValue="8046.6259120000004"/>
    </cacheField>
    <cacheField name="EV" numFmtId="2">
      <sharedItems containsSemiMixedTypes="0" containsString="0" containsNumber="1" minValue="856.4054496" maxValue="9249.6259119999995"/>
    </cacheField>
    <cacheField name="EV/TTM EBITDA" numFmtId="2">
      <sharedItems containsSemiMixedTypes="0" containsString="0" containsNumber="1" minValue="0.78325031055900618" maxValue="9.0921302418279577"/>
    </cacheField>
    <cacheField name="EV/EBITDA FY1" numFmtId="2">
      <sharedItems containsSemiMixedTypes="0" containsString="0" containsNumber="1" minValue="2.3318151392191346" maxValue="6.7466272151714071"/>
    </cacheField>
    <cacheField name="EV/EBITDA FY2" numFmtId="2">
      <sharedItems containsSemiMixedTypes="0" containsString="0" containsNumber="1" minValue="2.6058767455974841" maxValue="6.2266078168966672"/>
    </cacheField>
    <cacheField name="P/E" numFmtId="2">
      <sharedItems containsSemiMixedTypes="0" containsString="0" containsNumber="1" minValue="4.9731237849190331" maxValue="8.2012071431076006"/>
    </cacheField>
    <cacheField name="P/E FY1" numFmtId="2">
      <sharedItems containsSemiMixedTypes="0" containsString="0" containsNumber="1" minValue="5.2472826086956523" maxValue="11.828935395814376"/>
    </cacheField>
    <cacheField name="P/E FY2" numFmtId="2">
      <sharedItems containsSemiMixedTypes="0" containsString="0" containsNumber="1" minValue="6.31045751633987" maxValue="10.586319218241043"/>
    </cacheField>
    <cacheField name="P/FCF" numFmtId="2">
      <sharedItems containsMixedTypes="1" containsNumber="1" minValue="1.8557655230898595" maxValue="20.702354802381276"/>
    </cacheField>
    <cacheField name="Dividend Yield" numFmtId="2">
      <sharedItems containsMixedTypes="1" containsNumber="1" minValue="4.2846013403223635" maxValue="17.338492659198874"/>
    </cacheField>
    <cacheField name="Last Px (EUR)" numFmtId="2">
      <sharedItems containsSemiMixedTypes="0" containsString="0" containsNumber="1" minValue="0.93106820000000001" maxValue="52"/>
    </cacheField>
    <cacheField name="1 Year Mid CDS Spread" numFmtId="2">
      <sharedItems containsMixedTypes="1" containsNumber="1" minValue="45.928600000000003" maxValue="45.928600000000003"/>
    </cacheField>
    <cacheField name="2 Year Mid CDS Spread" numFmtId="2">
      <sharedItems containsMixedTypes="1" containsNumber="1" minValue="62.905299999999997" maxValue="62.905299999999997"/>
    </cacheField>
    <cacheField name="3 Year Mid CDS Spread" numFmtId="2">
      <sharedItems containsMixedTypes="1" containsNumber="1" minValue="87.109399999999994" maxValue="87.109399999999994"/>
    </cacheField>
    <cacheField name="5 Year Mid CDS Spread" numFmtId="2">
      <sharedItems containsMixedTypes="1" containsNumber="1" minValue="142.3229" maxValue="142.3229"/>
    </cacheField>
    <cacheField name="Net Debt per Share" numFmtId="2">
      <sharedItems containsSemiMixedTypes="0" containsString="0" containsNumber="1" minValue="-1.6375779374598927" maxValue="9.6771943376199534"/>
    </cacheField>
    <cacheField name="12 Month Implied Volatility" numFmtId="2">
      <sharedItems containsMixedTypes="1" containsNumber="1" minValue="25.984400000000001" maxValue="41.805399999999999"/>
    </cacheField>
    <cacheField name="Sales Growth (%)" numFmtId="2">
      <sharedItems containsSemiMixedTypes="0" containsString="0" containsNumber="1" minValue="5.0394268638679929" maxValue="24.163969795037755"/>
    </cacheField>
    <cacheField name="EBITDA Growth (%)" numFmtId="2">
      <sharedItems containsSemiMixedTypes="0" containsString="0" containsNumber="1" minValue="-9.5640872565127921" maxValue="131.98762775685847"/>
    </cacheField>
    <cacheField name="EBITDA Margin" numFmtId="2">
      <sharedItems containsSemiMixedTypes="0" containsString="0" containsNumber="1" minValue="16.814825975591383" maxValue="39.704727719758083"/>
    </cacheField>
    <cacheField name="Operating Income Margin" numFmtId="2">
      <sharedItems containsSemiMixedTypes="0" containsString="0" containsNumber="1" minValue="13.150867823765019" maxValue="26.127421702396624"/>
    </cacheField>
    <cacheField name="Net Income Growth (%)" numFmtId="2">
      <sharedItems containsSemiMixedTypes="0" containsString="0" containsNumber="1" minValue="0.22127460080642672" maxValue="314.67732442077278"/>
    </cacheField>
    <cacheField name="Net Profit Margin" numFmtId="2">
      <sharedItems containsSemiMixedTypes="0" containsString="0" containsNumber="1" minValue="7.1841193310230516" maxValue="24.99243263303779"/>
    </cacheField>
    <cacheField name="Capex/Sales (%)" numFmtId="2">
      <sharedItems containsSemiMixedTypes="0" containsString="0" containsNumber="1" minValue="0.59289678699368764" maxValue="13.682996168266657"/>
    </cacheField>
    <cacheField name="Return on Invested Capital" numFmtId="2">
      <sharedItems containsSemiMixedTypes="0" containsString="0" containsNumber="1" minValue="5.8056670679631397" maxValue="22.879433473848103"/>
    </cacheField>
    <cacheField name="Return on Assets" numFmtId="2">
      <sharedItems containsSemiMixedTypes="0" containsString="0" containsNumber="1" minValue="4.8758564270375295" maxValue="12.689523379266321"/>
    </cacheField>
    <cacheField name="Return on Equity" numFmtId="2">
      <sharedItems containsSemiMixedTypes="0" containsString="0" containsNumber="1" minValue="11.567442988840369" maxValue="39.763259031514224"/>
    </cacheField>
    <cacheField name="Raw Beta" numFmtId="2">
      <sharedItems containsSemiMixedTypes="0" containsString="0" containsNumber="1" minValue="0.76788880000000004" maxValue="1.7855920000000001"/>
    </cacheField>
    <cacheField name="Adj Beta (2/3*Raw Beta+1/3*1)" numFmtId="2">
      <sharedItems containsSemiMixedTypes="0" containsString="0" containsNumber="1" minValue="0.84525919999999999" maxValue="1.523728"/>
    </cacheField>
    <cacheField name="Alpha" numFmtId="2">
      <sharedItems containsSemiMixedTypes="0" containsString="0" containsNumber="1" minValue="-0.23706089999999999" maxValue="0.28988770000000003"/>
    </cacheField>
    <cacheField name="R Squared" numFmtId="2">
      <sharedItems containsSemiMixedTypes="0" containsString="0" containsNumber="1" minValue="0.25287539999999997" maxValue="0.47287430000000003"/>
    </cacheField>
    <cacheField name="Standard Deviation of Error (Beta)" numFmtId="2">
      <sharedItems containsSemiMixedTypes="0" containsString="0" containsNumber="1" minValue="3.0608170000000001" maxValue="4.9254759999999997"/>
    </cacheField>
    <cacheField name="Relative Index" numFmtId="0">
      <sharedItems/>
    </cacheField>
    <cacheField name="1 Yr Total Return (%)" numFmtId="2">
      <sharedItems containsSemiMixedTypes="0" containsString="0" containsNumber="1" minValue="-36.893050000000002" maxValue="10.848710000000001"/>
    </cacheField>
    <cacheField name="3 Yr Annualized Total Return (%)" numFmtId="2">
      <sharedItems containsSemiMixedTypes="0" containsString="0" containsNumber="1" minValue="-14.78187" maxValue="6.6060400000000001"/>
    </cacheField>
    <cacheField name="5 Yr Annualized Total Return (%)" numFmtId="2">
      <sharedItems containsSemiMixedTypes="0" containsString="0" containsNumber="1" minValue="-19.427330000000001" maxValue="1.424803"/>
    </cacheField>
    <cacheField name="MTD Total Return (%)" numFmtId="2">
      <sharedItems containsSemiMixedTypes="0" containsString="0" containsNumber="1" minValue="-8.0476150000000004" maxValue="3.1745999999999999"/>
    </cacheField>
    <cacheField name="EPS" numFmtId="2">
      <sharedItems containsSemiMixedTypes="0" containsString="0" containsNumber="1" minValue="6.6961271703142006E-2" maxValue="8.4099998474121094"/>
    </cacheField>
    <cacheField name="Curr Shares Out (M)" numFmtId="2">
      <sharedItems containsSemiMixedTypes="0" containsString="0" containsNumber="1" minValue="126.41419999999999" maxValue="4025.4089999999997"/>
    </cacheField>
    <cacheField name="EBITDA Adj T12M" numFmtId="2">
      <sharedItems containsSemiMixedTypes="0" containsString="0" containsNumber="1" minValue="172.506" maxValue="1116"/>
    </cacheField>
    <cacheField name="Adj Op Inc T12M" numFmtId="2">
      <sharedItems containsSemiMixedTypes="0" containsString="0" containsNumber="1" minValue="154.43" maxValue="888"/>
    </cacheField>
    <cacheField name="EV / EBIT Adj" numFmtId="2">
      <sharedItems containsSemiMixedTypes="0" containsString="0" containsNumber="1" minValue="4.8528361320495614" maxValue="10.45109748840332"/>
    </cacheField>
    <cacheField name="EV / EBITDA Adj" numFmtId="2">
      <sharedItems containsSemiMixedTypes="0" containsString="0" containsNumber="1" minValue="2.246932744979858" maxValue="8.3159275054931641"/>
    </cacheField>
    <cacheField name="P/E2" numFmtId="2">
      <sharedItems containsSemiMixedTypes="0" containsString="0" containsNumber="1" minValue="4.9731237849190331" maxValue="8.2012071431076006"/>
    </cacheField>
    <cacheField name="52Wk High" numFmtId="2">
      <sharedItems containsSemiMixedTypes="0" containsString="0" containsNumber="1" minValue="1.5618368994110641" maxValue="53.450000762939453"/>
    </cacheField>
    <cacheField name="52Wk Low" numFmtId="2">
      <sharedItems containsSemiMixedTypes="0" containsString="0" containsNumber="1" minValue="0.83555094609163105" maxValue="43.1199989318847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Bertolla" refreshedDate="44680.605323263888" createdVersion="3" refreshedVersion="7" minRefreshableVersion="3" recordCount="8" xr:uid="{3DE7778D-061D-425D-A17F-4E4C4E191AD9}">
  <cacheSource type="worksheet">
    <worksheetSource ref="A1:AV9" sheet="Analysis"/>
  </cacheSource>
  <cacheFields count="48">
    <cacheField name="Ticker" numFmtId="0">
      <sharedItems count="8">
        <s v="MMT FP Equity"/>
        <s v="TFI FP Equity"/>
        <s v="PSM GR Equity"/>
        <s v="RTL LX Equity"/>
        <s v="MFEB IM Equity"/>
        <s v="TL5 SM Equity"/>
        <s v="ITV LN Equity"/>
        <s v="A3M SM Equity"/>
      </sharedItems>
    </cacheField>
    <cacheField name="Name" numFmtId="0">
      <sharedItems/>
    </cacheField>
    <cacheField name="Mkt Cap (EUR M)" numFmtId="2">
      <sharedItems containsSemiMixedTypes="0" containsString="0" containsNumber="1" minValue="853.72144960000003" maxValue="8046.6259120000004"/>
    </cacheField>
    <cacheField name="EV" numFmtId="2">
      <sharedItems containsSemiMixedTypes="0" containsString="0" containsNumber="1" minValue="856.4054496" maxValue="9249.6259119999995"/>
    </cacheField>
    <cacheField name="EV/TTM EBITDA" numFmtId="2">
      <sharedItems containsSemiMixedTypes="0" containsString="0" containsNumber="1" minValue="0.78325031055900618" maxValue="9.0921302418279577"/>
    </cacheField>
    <cacheField name="EV/EBITDA FY1" numFmtId="2">
      <sharedItems containsSemiMixedTypes="0" containsString="0" containsNumber="1" minValue="2.3318151392191346" maxValue="6.7466272151714071"/>
    </cacheField>
    <cacheField name="EV/EBITDA FY2" numFmtId="2">
      <sharedItems containsSemiMixedTypes="0" containsString="0" containsNumber="1" minValue="2.6058767455974841" maxValue="6.2266078168966672"/>
    </cacheField>
    <cacheField name="P/E" numFmtId="2">
      <sharedItems containsSemiMixedTypes="0" containsString="0" containsNumber="1" minValue="4.9731237849190331" maxValue="8.2012071431076006"/>
    </cacheField>
    <cacheField name="P/E FY1" numFmtId="2">
      <sharedItems containsSemiMixedTypes="0" containsString="0" containsNumber="1" minValue="5.2472826086956523" maxValue="11.828935395814376"/>
    </cacheField>
    <cacheField name="P/E FY2" numFmtId="2">
      <sharedItems containsSemiMixedTypes="0" containsString="0" containsNumber="1" minValue="6.31045751633987" maxValue="10.586319218241043"/>
    </cacheField>
    <cacheField name="P/FCF" numFmtId="2">
      <sharedItems containsMixedTypes="1" containsNumber="1" minValue="1.8557655230898595" maxValue="20.702354802381276"/>
    </cacheField>
    <cacheField name="Dividend Yield" numFmtId="2">
      <sharedItems containsMixedTypes="1" containsNumber="1" minValue="4.2846013403223635" maxValue="17.338492659198874"/>
    </cacheField>
    <cacheField name="Last Px (EUR)" numFmtId="2">
      <sharedItems containsSemiMixedTypes="0" containsString="0" containsNumber="1" minValue="0.93106820000000001" maxValue="52"/>
    </cacheField>
    <cacheField name="1 Year Mid CDS Spread" numFmtId="2">
      <sharedItems containsMixedTypes="1" containsNumber="1" minValue="45.928600000000003" maxValue="45.928600000000003"/>
    </cacheField>
    <cacheField name="2 Year Mid CDS Spread" numFmtId="2">
      <sharedItems containsMixedTypes="1" containsNumber="1" minValue="62.905299999999997" maxValue="62.905299999999997"/>
    </cacheField>
    <cacheField name="3 Year Mid CDS Spread" numFmtId="2">
      <sharedItems containsMixedTypes="1" containsNumber="1" minValue="87.109399999999994" maxValue="87.109399999999994"/>
    </cacheField>
    <cacheField name="5 Year Mid CDS Spread" numFmtId="2">
      <sharedItems containsMixedTypes="1" containsNumber="1" minValue="142.3229" maxValue="142.3229"/>
    </cacheField>
    <cacheField name="Net Debt per Share" numFmtId="2">
      <sharedItems containsSemiMixedTypes="0" containsString="0" containsNumber="1" minValue="-1.6375779374598927" maxValue="9.6771943376199534"/>
    </cacheField>
    <cacheField name="12 Month Implied Volatility" numFmtId="2">
      <sharedItems containsMixedTypes="1" containsNumber="1" minValue="25.984400000000001" maxValue="41.805399999999999"/>
    </cacheField>
    <cacheField name="Sales Growth (%)" numFmtId="2">
      <sharedItems containsSemiMixedTypes="0" containsString="0" containsNumber="1" minValue="5.0394268638679929" maxValue="24.163969795037755"/>
    </cacheField>
    <cacheField name="EBITDA Growth (%)" numFmtId="2">
      <sharedItems containsSemiMixedTypes="0" containsString="0" containsNumber="1" minValue="-9.5640872565127921" maxValue="131.98762775685847"/>
    </cacheField>
    <cacheField name="EBITDA Margin" numFmtId="2">
      <sharedItems containsSemiMixedTypes="0" containsString="0" containsNumber="1" minValue="16.814825975591383" maxValue="39.704727719758083"/>
    </cacheField>
    <cacheField name="Operating Income Margin" numFmtId="2">
      <sharedItems containsSemiMixedTypes="0" containsString="0" containsNumber="1" minValue="13.150867823765019" maxValue="26.127421702396624"/>
    </cacheField>
    <cacheField name="Net Income Growth (%)" numFmtId="2">
      <sharedItems containsSemiMixedTypes="0" containsString="0" containsNumber="1" minValue="0.22127460080642672" maxValue="314.67732442077278"/>
    </cacheField>
    <cacheField name="Net Profit Margin" numFmtId="2">
      <sharedItems containsSemiMixedTypes="0" containsString="0" containsNumber="1" minValue="7.1841193310230516" maxValue="24.99243263303779"/>
    </cacheField>
    <cacheField name="Capex/Sales (%)" numFmtId="2">
      <sharedItems containsSemiMixedTypes="0" containsString="0" containsNumber="1" minValue="0.59289678699368764" maxValue="13.682996168266657"/>
    </cacheField>
    <cacheField name="Return on Invested Capital" numFmtId="2">
      <sharedItems containsSemiMixedTypes="0" containsString="0" containsNumber="1" minValue="5.8056670679631397" maxValue="22.879433473848103"/>
    </cacheField>
    <cacheField name="Return on Assets" numFmtId="2">
      <sharedItems containsSemiMixedTypes="0" containsString="0" containsNumber="1" minValue="4.8758564270375295" maxValue="12.689523379266321"/>
    </cacheField>
    <cacheField name="Return on Equity" numFmtId="2">
      <sharedItems containsSemiMixedTypes="0" containsString="0" containsNumber="1" minValue="11.567442988840369" maxValue="39.763259031514224"/>
    </cacheField>
    <cacheField name="Raw Beta" numFmtId="2">
      <sharedItems containsSemiMixedTypes="0" containsString="0" containsNumber="1" minValue="0.76788880000000004" maxValue="1.7855920000000001"/>
    </cacheField>
    <cacheField name="Adj Beta (2/3*Raw Beta+1/3*1)" numFmtId="2">
      <sharedItems containsSemiMixedTypes="0" containsString="0" containsNumber="1" minValue="0.84525919999999999" maxValue="1.523728"/>
    </cacheField>
    <cacheField name="Alpha" numFmtId="2">
      <sharedItems containsSemiMixedTypes="0" containsString="0" containsNumber="1" minValue="-0.23706089999999999" maxValue="0.28988770000000003"/>
    </cacheField>
    <cacheField name="R Squared" numFmtId="2">
      <sharedItems containsSemiMixedTypes="0" containsString="0" containsNumber="1" minValue="0.25287539999999997" maxValue="0.47287430000000003"/>
    </cacheField>
    <cacheField name="Standard Deviation of Error (Beta)" numFmtId="2">
      <sharedItems containsSemiMixedTypes="0" containsString="0" containsNumber="1" minValue="3.0608170000000001" maxValue="4.9254759999999997"/>
    </cacheField>
    <cacheField name="Relative Index" numFmtId="0">
      <sharedItems/>
    </cacheField>
    <cacheField name="1 Yr Total Return (%)" numFmtId="2">
      <sharedItems containsSemiMixedTypes="0" containsString="0" containsNumber="1" minValue="-36.893050000000002" maxValue="10.848710000000001"/>
    </cacheField>
    <cacheField name="3 Yr Annualized Total Return (%)" numFmtId="2">
      <sharedItems containsSemiMixedTypes="0" containsString="0" containsNumber="1" minValue="-14.78187" maxValue="6.6060400000000001"/>
    </cacheField>
    <cacheField name="5 Yr Annualized Total Return (%)" numFmtId="2">
      <sharedItems containsSemiMixedTypes="0" containsString="0" containsNumber="1" minValue="-19.427330000000001" maxValue="1.424803"/>
    </cacheField>
    <cacheField name="MTD Total Return (%)" numFmtId="2">
      <sharedItems containsSemiMixedTypes="0" containsString="0" containsNumber="1" minValue="-8.0476150000000004" maxValue="3.1745999999999999"/>
    </cacheField>
    <cacheField name="EPS" numFmtId="2">
      <sharedItems containsSemiMixedTypes="0" containsString="0" containsNumber="1" minValue="6.6961271703142006E-2" maxValue="8.4099998474121094"/>
    </cacheField>
    <cacheField name="Curr Shares Out (M)" numFmtId="2">
      <sharedItems containsSemiMixedTypes="0" containsString="0" containsNumber="1" minValue="126.41419999999999" maxValue="4025.4089999999997"/>
    </cacheField>
    <cacheField name="EBITDA Adj T12M" numFmtId="2">
      <sharedItems containsSemiMixedTypes="0" containsString="0" containsNumber="1" minValue="172.506" maxValue="1116"/>
    </cacheField>
    <cacheField name="Adj Op Inc T12M" numFmtId="2">
      <sharedItems containsSemiMixedTypes="0" containsString="0" containsNumber="1" minValue="154.43" maxValue="888"/>
    </cacheField>
    <cacheField name="EV / EBIT Adj" numFmtId="2">
      <sharedItems containsSemiMixedTypes="0" containsString="0" containsNumber="1" minValue="4.8528361320495614" maxValue="10.45109748840332"/>
    </cacheField>
    <cacheField name="EV / EBITDA Adj" numFmtId="2">
      <sharedItems containsSemiMixedTypes="0" containsString="0" containsNumber="1" minValue="2.246932744979858" maxValue="8.3159275054931641"/>
    </cacheField>
    <cacheField name="P/E2" numFmtId="2">
      <sharedItems containsSemiMixedTypes="0" containsString="0" containsNumber="1" minValue="4.9731237849190331" maxValue="8.2012071431076006"/>
    </cacheField>
    <cacheField name="52Wk High" numFmtId="2">
      <sharedItems containsSemiMixedTypes="0" containsString="0" containsNumber="1" minValue="1.5618368994110641" maxValue="53.450000762939453"/>
    </cacheField>
    <cacheField name="52Wk Low" numFmtId="2">
      <sharedItems containsSemiMixedTypes="0" containsString="0" containsNumber="1" minValue="0.83555094609163105" maxValue="43.1199989318847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Bertolla" refreshedDate="44680.605324884258" createdVersion="3" refreshedVersion="7" minRefreshableVersion="3" recordCount="2" xr:uid="{1F3BEB70-44F5-43C1-8D90-0C87E8670EF2}">
  <cacheSource type="worksheet">
    <worksheetSource ref="A1:AV3" sheet="Analysis"/>
  </cacheSource>
  <cacheFields count="48">
    <cacheField name="Ticker" numFmtId="0">
      <sharedItems count="2">
        <s v="MMT FP Equity"/>
        <s v="TFI FP Equity"/>
      </sharedItems>
    </cacheField>
    <cacheField name="Name" numFmtId="0">
      <sharedItems/>
    </cacheField>
    <cacheField name="Mkt Cap (EUR M)" numFmtId="2">
      <sharedItems containsSemiMixedTypes="0" containsString="0" containsNumber="1" minValue="1793.3376102" maxValue="2248.9094719199998"/>
    </cacheField>
    <cacheField name="EV" numFmtId="2">
      <sharedItems containsSemiMixedTypes="0" containsString="0" containsNumber="1" minValue="1657.3376102" maxValue="2057.0094719199997"/>
    </cacheField>
    <cacheField name="EV/TTM EBITDA" numFmtId="2">
      <sharedItems containsSemiMixedTypes="0" containsString="0" containsNumber="1" minValue="2.3054327079379067" maxValue="4.4511537316798195"/>
    </cacheField>
    <cacheField name="EV/EBITDA FY1" numFmtId="2">
      <sharedItems containsSemiMixedTypes="0" containsString="0" containsNumber="1" minValue="2.3318151392191346" maxValue="5.0064118574262233"/>
    </cacheField>
    <cacheField name="EV/EBITDA FY2" numFmtId="2">
      <sharedItems containsSemiMixedTypes="0" containsString="0" containsNumber="1" minValue="2.6058767455974841" maxValue="4.9227593935724414"/>
    </cacheField>
    <cacheField name="P/E" numFmtId="2">
      <sharedItems containsSemiMixedTypes="0" containsString="0" containsNumber="1" minValue="7.9922372941975848" maxValue="8.0243144794260832"/>
    </cacheField>
    <cacheField name="P/E FY1" numFmtId="2">
      <sharedItems containsSemiMixedTypes="0" containsString="0" containsNumber="1" minValue="9.0063424947145858" maxValue="9.7586396050466266"/>
    </cacheField>
    <cacheField name="P/E FY2" numFmtId="2">
      <sharedItems containsSemiMixedTypes="0" containsString="0" containsNumber="1" minValue="7.8165137614678892" maxValue="9.3582325092056813"/>
    </cacheField>
    <cacheField name="P/FCF" numFmtId="2">
      <sharedItems containsSemiMixedTypes="0" containsString="0" containsNumber="1" minValue="5.020482653688366" maxValue="5.8726260058305"/>
    </cacheField>
    <cacheField name="Dividend Yield" numFmtId="2">
      <sharedItems containsSemiMixedTypes="0" containsString="0" containsNumber="1" minValue="5.2816900009280641" maxValue="8.4317032040472188"/>
    </cacheField>
    <cacheField name="Last Px (EUR)" numFmtId="2">
      <sharedItems containsSemiMixedTypes="0" containsString="0" containsNumber="1" minValue="8.52" maxValue="17.79"/>
    </cacheField>
    <cacheField name="1 Year Mid CDS Spread" numFmtId="2">
      <sharedItems/>
    </cacheField>
    <cacheField name="2 Year Mid CDS Spread" numFmtId="2">
      <sharedItems/>
    </cacheField>
    <cacheField name="3 Year Mid CDS Spread" numFmtId="2">
      <sharedItems/>
    </cacheField>
    <cacheField name="5 Year Mid CDS Spread" numFmtId="2">
      <sharedItems/>
    </cacheField>
    <cacheField name="Net Debt per Share" numFmtId="2">
      <sharedItems containsSemiMixedTypes="0" containsString="0" containsNumber="1" minValue="-1.6375779374598927" maxValue="-0.64042375148308806"/>
    </cacheField>
    <cacheField name="12 Month Implied Volatility" numFmtId="2">
      <sharedItems containsSemiMixedTypes="0" containsString="0" containsNumber="1" minValue="29.945699999999999" maxValue="35.046500000000002"/>
    </cacheField>
    <cacheField name="Sales Growth (%)" numFmtId="2">
      <sharedItems containsSemiMixedTypes="0" containsString="0" containsNumber="1" minValue="9.1708542713567986" maxValue="16.592208291300409"/>
    </cacheField>
    <cacheField name="EBITDA Growth (%)" numFmtId="2">
      <sharedItems containsSemiMixedTypes="0" containsString="0" containsNumber="1" minValue="17.390153520381169" maxValue="34.96797804208601"/>
    </cacheField>
    <cacheField name="EBITDA Margin" numFmtId="2">
      <sharedItems containsSemiMixedTypes="0" containsString="0" containsNumber="1" minValue="30.390177578179717" maxValue="31.897295742232451"/>
    </cacheField>
    <cacheField name="Operating Income Margin" numFmtId="2">
      <sharedItems containsSemiMixedTypes="0" containsString="0" containsNumber="1" minValue="14.020847925507807" maxValue="24.532508630609897"/>
    </cacheField>
    <cacheField name="Net Income Growth (%)" numFmtId="2">
      <sharedItems containsSemiMixedTypes="0" containsString="0" containsNumber="1" minValue="15.274255111071094" maxValue="116.5039572440615"/>
    </cacheField>
    <cacheField name="Net Profit Margin" numFmtId="2">
      <sharedItems containsSemiMixedTypes="0" containsString="0" containsNumber="1" minValue="9.5186329195522639" maxValue="17.763416160266829"/>
    </cacheField>
    <cacheField name="Capex/Sales (%)" numFmtId="2">
      <sharedItems containsSemiMixedTypes="0" containsString="0" containsNumber="1" minValue="0.7264096662830839" maxValue="13.682996168266657"/>
    </cacheField>
    <cacheField name="Return on Invested Capital" numFmtId="2">
      <sharedItems containsSemiMixedTypes="0" containsString="0" containsNumber="1" minValue="9.795247834804826" maxValue="19.257570142667994"/>
    </cacheField>
    <cacheField name="Return on Assets" numFmtId="2">
      <sharedItems containsSemiMixedTypes="0" containsString="0" containsNumber="1" minValue="6.5218496080413582" maxValue="12.689523379266321"/>
    </cacheField>
    <cacheField name="Return on Equity" numFmtId="2">
      <sharedItems containsSemiMixedTypes="0" containsString="0" containsNumber="1" minValue="13.692096224171932" maxValue="22.283803698502279"/>
    </cacheField>
    <cacheField name="Raw Beta" numFmtId="2">
      <sharedItems containsSemiMixedTypes="0" containsString="0" containsNumber="1" minValue="0.96953829999999996" maxValue="1.0026710000000001"/>
    </cacheField>
    <cacheField name="Adj Beta (2/3*Raw Beta+1/3*1)" numFmtId="2">
      <sharedItems containsSemiMixedTypes="0" containsString="0" containsNumber="1" minValue="0.97969220000000001" maxValue="1.001781"/>
    </cacheField>
    <cacheField name="Alpha" numFmtId="2">
      <sharedItems containsSemiMixedTypes="0" containsString="0" containsNumber="1" minValue="0.2716963" maxValue="0.28988770000000003"/>
    </cacheField>
    <cacheField name="R Squared" numFmtId="2">
      <sharedItems containsSemiMixedTypes="0" containsString="0" containsNumber="1" minValue="0.37982139999999998" maxValue="0.42150650000000001"/>
    </cacheField>
    <cacheField name="Standard Deviation of Error (Beta)" numFmtId="2">
      <sharedItems containsSemiMixedTypes="0" containsString="0" containsNumber="1" minValue="3.485115" maxValue="3.6734719999999998"/>
    </cacheField>
    <cacheField name="Relative Index" numFmtId="0">
      <sharedItems/>
    </cacheField>
    <cacheField name="1 Yr Total Return (%)" numFmtId="2">
      <sharedItems containsSemiMixedTypes="0" containsString="0" containsNumber="1" minValue="3.1406040000000002" maxValue="9.8087459999999993"/>
    </cacheField>
    <cacheField name="3 Yr Annualized Total Return (%)" numFmtId="2">
      <sharedItems containsSemiMixedTypes="0" containsString="0" containsNumber="1" minValue="1.614682" maxValue="6.6060400000000001"/>
    </cacheField>
    <cacheField name="5 Yr Annualized Total Return (%)" numFmtId="2">
      <sharedItems containsSemiMixedTypes="0" containsString="0" containsNumber="1" minValue="-1.629138" maxValue="1.424803"/>
    </cacheField>
    <cacheField name="MTD Total Return (%)" numFmtId="2">
      <sharedItems containsSemiMixedTypes="0" containsString="0" containsNumber="1" minValue="-3.2917130000000001" maxValue="-0.50334590000000001"/>
    </cacheField>
    <cacheField name="EPS" numFmtId="2">
      <sharedItems containsSemiMixedTypes="0" containsString="0" containsNumber="1" minValue="1.070000052452087" maxValue="2.226000070571899"/>
    </cacheField>
    <cacheField name="Curr Shares Out (M)" numFmtId="2">
      <sharedItems containsSemiMixedTypes="0" containsString="0" containsNumber="1" minValue="126.41419999999999" maxValue="210.48559999999998"/>
    </cacheField>
    <cacheField name="EBITDA Adj T12M" numFmtId="2">
      <sharedItems containsSemiMixedTypes="0" containsString="0" containsNumber="1" minValue="443.5" maxValue="737.6"/>
    </cacheField>
    <cacheField name="Adj Op Inc T12M" numFmtId="2">
      <sharedItems containsSemiMixedTypes="0" containsString="0" containsNumber="1" minValue="340.3" maxValue="341.1"/>
    </cacheField>
    <cacheField name="EV / EBIT Adj" numFmtId="2">
      <sharedItems containsSemiMixedTypes="0" containsString="0" containsNumber="1" minValue="4.8702249526977539" maxValue="6.030517578125"/>
    </cacheField>
    <cacheField name="EV / EBITDA Adj" numFmtId="2">
      <sharedItems containsSemiMixedTypes="0" containsString="0" containsNumber="1" minValue="2.246932744979858" maxValue="4.638127326965332"/>
    </cacheField>
    <cacheField name="P/E2" numFmtId="2">
      <sharedItems containsSemiMixedTypes="0" containsString="0" containsNumber="1" minValue="7.9922372941975848" maxValue="8.0243144794260832"/>
    </cacheField>
    <cacheField name="52Wk High" numFmtId="2">
      <sharedItems containsSemiMixedTypes="0" containsString="0" containsNumber="1" minValue="9.5" maxValue="19.440000534057617"/>
    </cacheField>
    <cacheField name="52Wk Low" numFmtId="2">
      <sharedItems containsSemiMixedTypes="0" containsString="0" containsNumber="1" minValue="7.4699997901916504" maxValue="15.3400001525878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kael Bertolla" refreshedDate="44680.623785185184" createdVersion="3" refreshedVersion="7" minRefreshableVersion="3" recordCount="8" xr:uid="{D216B805-7878-4933-89DF-2F1916D6A238}">
  <cacheSource type="worksheet">
    <worksheetSource ref="A1:AV9" sheet="Analysis"/>
  </cacheSource>
  <cacheFields count="48">
    <cacheField name="Ticker" numFmtId="0">
      <sharedItems/>
    </cacheField>
    <cacheField name="Name" numFmtId="0">
      <sharedItems count="8">
        <s v="M6-METROPOLE TELEVISION"/>
        <s v="TELEVISION FRANCAISE (T.F.1)"/>
        <s v="PROSIEBENSAT.1 MEDIA SE"/>
        <s v="RTL GROUP"/>
        <s v="MFE-MEDIAFOREUROPE NV-CL B"/>
        <s v="MEDIASET ESPANA COMUNICACION"/>
        <s v="ITV PLC"/>
        <s v="ATRESMEDIA CORP DE MEDIOS DE"/>
      </sharedItems>
    </cacheField>
    <cacheField name="Mkt Cap (EUR M)" numFmtId="2">
      <sharedItems containsSemiMixedTypes="0" containsString="0" containsNumber="1" minValue="853.72144960000003" maxValue="8046.6259120000004"/>
    </cacheField>
    <cacheField name="EV" numFmtId="2">
      <sharedItems containsSemiMixedTypes="0" containsString="0" containsNumber="1" minValue="856.4054496" maxValue="9249.6259119999995"/>
    </cacheField>
    <cacheField name="EV/TTM EBITDA" numFmtId="2">
      <sharedItems containsSemiMixedTypes="0" containsString="0" containsNumber="1" minValue="0.78325031055900618" maxValue="9.0921302418279577"/>
    </cacheField>
    <cacheField name="EV/EBITDA FY1" numFmtId="2">
      <sharedItems containsSemiMixedTypes="0" containsString="0" containsNumber="1" minValue="2.3318151392191346" maxValue="6.7466272151714071"/>
    </cacheField>
    <cacheField name="EV/EBITDA FY2" numFmtId="2">
      <sharedItems containsSemiMixedTypes="0" containsString="0" containsNumber="1" minValue="2.6058767455974841" maxValue="6.2266078168966672"/>
    </cacheField>
    <cacheField name="P/E" numFmtId="2">
      <sharedItems containsSemiMixedTypes="0" containsString="0" containsNumber="1" minValue="4.9731237849190331" maxValue="8.2012071431076006"/>
    </cacheField>
    <cacheField name="P/E FY1" numFmtId="2">
      <sharedItems containsSemiMixedTypes="0" containsString="0" containsNumber="1" minValue="5.2472826086956523" maxValue="11.828935395814376"/>
    </cacheField>
    <cacheField name="P/E FY2" numFmtId="2">
      <sharedItems containsSemiMixedTypes="0" containsString="0" containsNumber="1" minValue="6.31045751633987" maxValue="10.586319218241043"/>
    </cacheField>
    <cacheField name="P/FCF" numFmtId="2">
      <sharedItems containsMixedTypes="1" containsNumber="1" minValue="1.8557655230898595" maxValue="20.702354802381276"/>
    </cacheField>
    <cacheField name="Dividend Yield" numFmtId="2">
      <sharedItems containsMixedTypes="1" containsNumber="1" minValue="4.2846013403223635" maxValue="17.338492659198874"/>
    </cacheField>
    <cacheField name="Last Px (EUR)" numFmtId="2">
      <sharedItems containsSemiMixedTypes="0" containsString="0" containsNumber="1" minValue="0.93106820000000001" maxValue="52"/>
    </cacheField>
    <cacheField name="1 Year Mid CDS Spread" numFmtId="2">
      <sharedItems containsMixedTypes="1" containsNumber="1" minValue="45.928600000000003" maxValue="45.928600000000003"/>
    </cacheField>
    <cacheField name="2 Year Mid CDS Spread" numFmtId="2">
      <sharedItems containsMixedTypes="1" containsNumber="1" minValue="62.905299999999997" maxValue="62.905299999999997"/>
    </cacheField>
    <cacheField name="3 Year Mid CDS Spread" numFmtId="2">
      <sharedItems containsMixedTypes="1" containsNumber="1" minValue="87.109399999999994" maxValue="87.109399999999994"/>
    </cacheField>
    <cacheField name="5 Year Mid CDS Spread" numFmtId="2">
      <sharedItems containsMixedTypes="1" containsNumber="1" minValue="142.3229" maxValue="142.3229"/>
    </cacheField>
    <cacheField name="Net Debt per Share" numFmtId="2">
      <sharedItems containsSemiMixedTypes="0" containsString="0" containsNumber="1" minValue="-1.6375779374598927" maxValue="9.6771943376199534"/>
    </cacheField>
    <cacheField name="12 Month Implied Volatility" numFmtId="2">
      <sharedItems containsMixedTypes="1" containsNumber="1" minValue="25.984400000000001" maxValue="41.805399999999999"/>
    </cacheField>
    <cacheField name="Sales Growth (%)" numFmtId="2">
      <sharedItems containsSemiMixedTypes="0" containsString="0" containsNumber="1" minValue="5.0394268638679929" maxValue="24.163969795037755"/>
    </cacheField>
    <cacheField name="EBITDA Growth (%)" numFmtId="2">
      <sharedItems containsSemiMixedTypes="0" containsString="0" containsNumber="1" minValue="-9.5640872565127921" maxValue="131.98762775685847"/>
    </cacheField>
    <cacheField name="EBITDA Margin" numFmtId="2">
      <sharedItems containsSemiMixedTypes="0" containsString="0" containsNumber="1" minValue="16.814825975591383" maxValue="39.704727719758083"/>
    </cacheField>
    <cacheField name="Operating Income Margin" numFmtId="2">
      <sharedItems containsSemiMixedTypes="0" containsString="0" containsNumber="1" minValue="13.150867823765019" maxValue="26.127421702396624"/>
    </cacheField>
    <cacheField name="Net Income Growth (%)" numFmtId="2">
      <sharedItems containsSemiMixedTypes="0" containsString="0" containsNumber="1" minValue="0.22127460080642672" maxValue="314.67732442077278"/>
    </cacheField>
    <cacheField name="Net Profit Margin" numFmtId="2">
      <sharedItems containsSemiMixedTypes="0" containsString="0" containsNumber="1" minValue="7.1841193310230516" maxValue="24.99243263303779"/>
    </cacheField>
    <cacheField name="Capex/Sales (%)" numFmtId="2">
      <sharedItems containsSemiMixedTypes="0" containsString="0" containsNumber="1" minValue="0.59289678699368764" maxValue="13.682996168266657"/>
    </cacheField>
    <cacheField name="Return on Invested Capital" numFmtId="2">
      <sharedItems containsSemiMixedTypes="0" containsString="0" containsNumber="1" minValue="5.8056670679631397" maxValue="22.879433473848103"/>
    </cacheField>
    <cacheField name="Return on Assets" numFmtId="2">
      <sharedItems containsSemiMixedTypes="0" containsString="0" containsNumber="1" minValue="4.8758564270375295" maxValue="12.689523379266321"/>
    </cacheField>
    <cacheField name="Return on Equity" numFmtId="2">
      <sharedItems containsSemiMixedTypes="0" containsString="0" containsNumber="1" minValue="11.567442988840369" maxValue="39.763259031514224"/>
    </cacheField>
    <cacheField name="Raw Beta" numFmtId="2">
      <sharedItems containsSemiMixedTypes="0" containsString="0" containsNumber="1" minValue="0.76788880000000004" maxValue="1.7855920000000001"/>
    </cacheField>
    <cacheField name="Adj Beta (2/3*Raw Beta+1/3*1)" numFmtId="2">
      <sharedItems containsSemiMixedTypes="0" containsString="0" containsNumber="1" minValue="0.84525919999999999" maxValue="1.523728"/>
    </cacheField>
    <cacheField name="Alpha" numFmtId="2">
      <sharedItems containsSemiMixedTypes="0" containsString="0" containsNumber="1" minValue="-0.23706089999999999" maxValue="0.28988770000000003"/>
    </cacheField>
    <cacheField name="R Squared" numFmtId="2">
      <sharedItems containsSemiMixedTypes="0" containsString="0" containsNumber="1" minValue="0.25287539999999997" maxValue="0.47287430000000003"/>
    </cacheField>
    <cacheField name="Standard Deviation of Error (Beta)" numFmtId="2">
      <sharedItems containsSemiMixedTypes="0" containsString="0" containsNumber="1" minValue="3.0608170000000001" maxValue="4.9254759999999997"/>
    </cacheField>
    <cacheField name="Relative Index" numFmtId="0">
      <sharedItems/>
    </cacheField>
    <cacheField name="1 Yr Total Return (%)" numFmtId="2">
      <sharedItems containsSemiMixedTypes="0" containsString="0" containsNumber="1" minValue="-36.893050000000002" maxValue="10.848710000000001"/>
    </cacheField>
    <cacheField name="3 Yr Annualized Total Return (%)" numFmtId="2">
      <sharedItems containsSemiMixedTypes="0" containsString="0" containsNumber="1" minValue="-14.78187" maxValue="6.6060400000000001"/>
    </cacheField>
    <cacheField name="5 Yr Annualized Total Return (%)" numFmtId="2">
      <sharedItems containsSemiMixedTypes="0" containsString="0" containsNumber="1" minValue="-19.427330000000001" maxValue="1.424803"/>
    </cacheField>
    <cacheField name="MTD Total Return (%)" numFmtId="2">
      <sharedItems containsSemiMixedTypes="0" containsString="0" containsNumber="1" minValue="-8.0476150000000004" maxValue="3.1745999999999999"/>
    </cacheField>
    <cacheField name="EPS" numFmtId="2">
      <sharedItems containsSemiMixedTypes="0" containsString="0" containsNumber="1" minValue="6.6961271703142006E-2" maxValue="8.4099998474121094"/>
    </cacheField>
    <cacheField name="Curr Shares Out (M)" numFmtId="2">
      <sharedItems containsSemiMixedTypes="0" containsString="0" containsNumber="1" minValue="126.41419999999999" maxValue="4025.4089999999997"/>
    </cacheField>
    <cacheField name="EBITDA Adj T12M" numFmtId="2">
      <sharedItems containsSemiMixedTypes="0" containsString="0" containsNumber="1" minValue="172.506" maxValue="1116"/>
    </cacheField>
    <cacheField name="Adj Op Inc T12M" numFmtId="2">
      <sharedItems containsSemiMixedTypes="0" containsString="0" containsNumber="1" minValue="154.43" maxValue="888"/>
    </cacheField>
    <cacheField name="EV / EBIT Adj" numFmtId="2">
      <sharedItems containsSemiMixedTypes="0" containsString="0" containsNumber="1" minValue="4.8528361320495614" maxValue="10.45109748840332"/>
    </cacheField>
    <cacheField name="EV / EBITDA Adj" numFmtId="2">
      <sharedItems containsSemiMixedTypes="0" containsString="0" containsNumber="1" minValue="2.246932744979858" maxValue="8.3159275054931641"/>
    </cacheField>
    <cacheField name="P/E2" numFmtId="2">
      <sharedItems containsSemiMixedTypes="0" containsString="0" containsNumber="1" minValue="4.9731237849190331" maxValue="8.2012071431076006"/>
    </cacheField>
    <cacheField name="52Wk High" numFmtId="2">
      <sharedItems containsSemiMixedTypes="0" containsString="0" containsNumber="1" minValue="1.5618368994110641" maxValue="53.450000762939453"/>
    </cacheField>
    <cacheField name="52Wk Low" numFmtId="2">
      <sharedItems containsSemiMixedTypes="0" containsString="0" containsNumber="1" minValue="0.83555094609163105" maxValue="43.1199989318847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M6-METROPOLE TELEVISION"/>
    <n v="2248.9094719199998"/>
    <n v="2057.0094719199997"/>
    <n v="4.4511537316798195"/>
    <n v="5.0064118574262233"/>
    <n v="4.9227593935724414"/>
    <n v="7.9922372941975848"/>
    <n v="9.7586396050466266"/>
    <n v="9.3582325092056813"/>
    <n v="5.020482653688366"/>
    <n v="8.4317032040472188"/>
    <n v="17.79"/>
    <s v="#N/A N/A"/>
    <s v="#N/A N/A"/>
    <s v="#N/A N/A"/>
    <s v="#N/A N/A"/>
    <n v="-1.6375779374598927"/>
    <n v="35.046500000000002"/>
    <n v="9.1708542713567986"/>
    <n v="17.390153520381169"/>
    <n v="31.897295742232451"/>
    <n v="24.532508630609897"/>
    <n v="15.274255111071094"/>
    <n v="17.763416160266829"/>
    <n v="0.7264096662830839"/>
    <n v="19.257570142667994"/>
    <n v="12.689523379266321"/>
    <n v="22.283803698502279"/>
    <n v="0.96953829999999996"/>
    <n v="0.97969220000000001"/>
    <n v="0.2716963"/>
    <n v="0.37982139999999998"/>
    <n v="3.6734719999999998"/>
    <s v="CAC Index"/>
    <n v="3.1406040000000002"/>
    <n v="6.6060400000000001"/>
    <n v="1.424803"/>
    <n v="-0.50334590000000001"/>
    <n v="2.226000070571899"/>
    <n v="126.41419999999999"/>
    <n v="443.5"/>
    <n v="341.1"/>
    <n v="6.030517578125"/>
    <n v="4.638127326965332"/>
    <n v="7.9922372941975848"/>
    <n v="19.440000534057617"/>
    <n v="15.340000152587891"/>
  </r>
  <r>
    <x v="1"/>
    <s v="TELEVISION FRANCAISE (T.F.1)"/>
    <n v="1793.3376102"/>
    <n v="1657.3376102"/>
    <n v="2.3054327079379067"/>
    <n v="2.3318151392191346"/>
    <n v="2.6058767455974841"/>
    <n v="8.0243144794260832"/>
    <n v="9.0063424947145858"/>
    <n v="7.8165137614678892"/>
    <n v="5.8726260058305"/>
    <n v="5.2816900009280641"/>
    <n v="8.52"/>
    <s v="#N/A N/A"/>
    <s v="#N/A N/A"/>
    <s v="#N/A N/A"/>
    <s v="#N/A N/A"/>
    <n v="-0.64042375148308806"/>
    <n v="29.945699999999999"/>
    <n v="16.592208291300409"/>
    <n v="34.96797804208601"/>
    <n v="30.390177578179717"/>
    <n v="14.020847925507807"/>
    <n v="116.5039572440615"/>
    <n v="9.5186329195522639"/>
    <n v="13.682996168266657"/>
    <n v="9.795247834804826"/>
    <n v="6.5218496080413582"/>
    <n v="13.692096224171932"/>
    <n v="1.0026710000000001"/>
    <n v="1.001781"/>
    <n v="0.28988770000000003"/>
    <n v="0.42150650000000001"/>
    <n v="3.485115"/>
    <s v="CAC Index"/>
    <n v="9.8087459999999993"/>
    <n v="1.614682"/>
    <n v="-1.629138"/>
    <n v="-3.2917130000000001"/>
    <n v="1.070000052452087"/>
    <n v="210.48559999999998"/>
    <n v="737.6"/>
    <n v="340.3"/>
    <n v="4.8702249526977539"/>
    <n v="2.246932744979858"/>
    <n v="8.0243144794260832"/>
    <n v="9.5"/>
    <n v="7.4699997901916504"/>
  </r>
  <r>
    <x v="2"/>
    <s v="PROSIEBENSAT.1 MEDIA SE"/>
    <n v="2576.98"/>
    <n v="5109.9799999999996"/>
    <n v="6.7737965803087885"/>
    <n v="6.1339364060753807"/>
    <n v="5.8834609623353398"/>
    <n v="5.4354585613219948"/>
    <n v="6.8610421836228284"/>
    <n v="6.4377182770663568"/>
    <n v="1.8557655230898595"/>
    <n v="4.4303798330627773"/>
    <n v="11.06"/>
    <s v="#N/A N/A"/>
    <s v="#N/A N/A"/>
    <s v="#N/A N/A"/>
    <s v="#N/A N/A"/>
    <n v="9.6771943376199534"/>
    <s v="#N/A N/A"/>
    <n v="11.072664359861591"/>
    <n v="19.094766619519095"/>
    <n v="18.736092567868269"/>
    <n v="13.150867823765019"/>
    <n v="60.049754360217712"/>
    <n v="8.3493142371647089"/>
    <n v="4.8509123275478423"/>
    <n v="5.8056670679631397"/>
    <n v="5.490462127863359"/>
    <n v="24.293828541157783"/>
    <n v="1.2847580000000001"/>
    <n v="1.1898390000000001"/>
    <n v="4.8989770000000002E-2"/>
    <n v="0.47287430000000003"/>
    <n v="4.0512920000000001"/>
    <s v="DAX Index"/>
    <n v="-36.893050000000002"/>
    <n v="-5.9004669999999999"/>
    <n v="-19.427330000000001"/>
    <n v="-4.5317189999999998"/>
    <n v="1.9900000095367432"/>
    <n v="233"/>
    <n v="1116"/>
    <n v="888"/>
    <n v="10.45109748840332"/>
    <n v="8.3159275054931641"/>
    <n v="6.1815071180054462"/>
    <n v="53.450000762939453"/>
    <n v="43.119998931884766"/>
  </r>
  <r>
    <x v="3"/>
    <s v="RTL GROUP"/>
    <n v="8046.6259120000004"/>
    <n v="9249.6259119999995"/>
    <n v="9.0921302418279577"/>
    <n v="6.7466272151714071"/>
    <n v="6.2266078168966672"/>
    <n v="6.1815071180054462"/>
    <n v="11.828935395814376"/>
    <n v="10.586319218241043"/>
    <n v="11.248283245858254"/>
    <n v="5.7692307692307692"/>
    <n v="52"/>
    <s v="#N/A N/A"/>
    <s v="#N/A N/A"/>
    <s v="#N/A N/A"/>
    <s v="#N/A N/A"/>
    <n v="2.4446809616805694"/>
    <s v="#N/A N/A"/>
    <n v="10.304138274887817"/>
    <n v="3.3620450125034687"/>
    <n v="16.814825975591383"/>
    <n v="13.379538948320025"/>
    <n v="0.22127460080642672"/>
    <n v="7.1841193310230516"/>
    <n v="2.9380744312189244"/>
    <n v="11.085250439131805"/>
    <n v="4.8758564270375295"/>
    <n v="11.567442988840369"/>
    <n v="0.76788880000000004"/>
    <n v="0.84525919999999999"/>
    <n v="3.0495319999999999E-2"/>
    <n v="0.41185470000000002"/>
    <n v="3.0608170000000001"/>
    <s v="LUXXX Index"/>
    <n v="10.848710000000001"/>
    <n v="5.1910930000000004"/>
    <n v="-2.6784189999999999"/>
    <n v="3.1745999999999999"/>
    <n v="8.4099998474121094"/>
    <n v="154.74279999999999"/>
    <n v="842"/>
    <n v="591"/>
    <n v="8.6463289260864258"/>
    <n v="6.0688600540161133"/>
    <n v="5.4354585613219948"/>
    <n v="19"/>
    <n v="9.6899995803833008"/>
  </r>
  <r>
    <x v="4"/>
    <s v="MFE-MEDIAFOREUROPE NV-CL B"/>
    <n v="1809.000801356"/>
    <n v="3274.2008013559998"/>
    <n v="5.1086484094241928"/>
    <n v="4.543292257528095"/>
    <n v="5.5778548575059625"/>
    <n v="4.9731237849190331"/>
    <n v="5.2472826086956523"/>
    <n v="6.31045751633987"/>
    <s v="#N/A N/A"/>
    <n v="17.338492659198874"/>
    <n v="0.96550000000000002"/>
    <s v="#N/A N/A"/>
    <s v="#N/A N/A"/>
    <s v="#N/A N/A"/>
    <s v="#N/A N/A"/>
    <n v="0.53033864435561495"/>
    <n v="30.2807"/>
    <n v="11.453982985305483"/>
    <n v="18.065848621066721"/>
    <n v="33.717299285268204"/>
    <n v="15.873291235861494"/>
    <n v="314.67732442077278"/>
    <n v="13.981972104642287"/>
    <n v="2.3197948168280824"/>
    <n v="9.2093429535279654"/>
    <n v="9.6542666858320132"/>
    <n v="15.766369327073551"/>
    <n v="0.91897119999999999"/>
    <n v="0.94598079999999996"/>
    <n v="-0.17967549999999999"/>
    <n v="0.25287539999999997"/>
    <n v="4.7304529999999998"/>
    <s v="FTSEMIB Index"/>
    <n v="-22.20025"/>
    <n v="-11.603260000000001"/>
    <n v="-11.936360000000001"/>
    <n v="-8.0476150000000004"/>
    <n v="6.6961271703142006E-2"/>
    <n v="1181.2279999999998"/>
    <n v="971.8"/>
    <n v="457.5"/>
    <n v="7.1567230224609384"/>
    <n v="3.3692126274108891"/>
    <n v="4.9731237849190331"/>
    <n v="1.8135344824957571"/>
    <n v="0.88249999284744307"/>
  </r>
  <r>
    <x v="5"/>
    <s v="MEDIASET ESPANA COMUNICACION"/>
    <n v="1361.6463941119998"/>
    <n v="1132.7183941119997"/>
    <n v="3.0908903359076518"/>
    <n v="4.4062472784250248"/>
    <n v="4.3976938168970872"/>
    <n v="7.4155054492214658"/>
    <n v="6.7831513260530416"/>
    <n v="6.587878787878787"/>
    <n v="3.9489745019429554"/>
    <s v="#N/A N/A"/>
    <n v="4.3479999999999999"/>
    <s v="#N/A N/A"/>
    <s v="#N/A N/A"/>
    <s v="#N/A N/A"/>
    <s v="#N/A N/A"/>
    <n v="-0.73844189236496782"/>
    <n v="33.7819"/>
    <n v="5.0394268638679929"/>
    <n v="-9.5640872565127921"/>
    <n v="39.704727719758083"/>
    <n v="26.127421702396624"/>
    <n v="20.575127779751611"/>
    <n v="24.99243263303779"/>
    <n v="0.59289678699368764"/>
    <n v="15.3231830625706"/>
    <n v="12.554748990661063"/>
    <n v="18.088042797194699"/>
    <n v="0.98720929999999996"/>
    <n v="0.99147280000000004"/>
    <n v="0.14797360000000001"/>
    <n v="0.29302519999999999"/>
    <n v="4.9254759999999997"/>
    <s v="IBEX Index"/>
    <n v="-8.6938270000000006"/>
    <n v="-12.04824"/>
    <n v="-15.94233"/>
    <n v="-4.8993869999999999"/>
    <n v="0.60000002384185802"/>
    <n v="313.16609999999997"/>
    <n v="342.35599999999999"/>
    <n v="225.285"/>
    <n v="5.0279350280761719"/>
    <n v="3.3085978031158452"/>
    <n v="7.4155054492214658"/>
    <n v="5.8949999809265137"/>
    <n v="3.747999906539917"/>
  </r>
  <r>
    <x v="6"/>
    <s v="ITV PLC"/>
    <n v="3747.9301956634358"/>
    <n v="3966.9807353416136"/>
    <n v="0.78325031055900618"/>
    <n v="4.0952919560809784"/>
    <n v="4.3913020062965646"/>
    <n v="8.2012071431076006"/>
    <n v="5.5811594202898549"/>
    <n v="6.4722689075630244"/>
    <n v="20.702354802381276"/>
    <n v="4.2846013403223635"/>
    <n v="0.93106820000000001"/>
    <n v="45.928600000000003"/>
    <n v="62.905299999999997"/>
    <n v="87.109399999999994"/>
    <n v="142.3229"/>
    <n v="0.43361007968080595"/>
    <n v="41.805399999999999"/>
    <n v="24.163969795037755"/>
    <n v="29.006410256410255"/>
    <n v="23.31306110628439"/>
    <n v="19.606139588763394"/>
    <n v="40.031941098448968"/>
    <n v="14.981754995655953"/>
    <n v="0.63712713582392122"/>
    <n v="22.879433473848103"/>
    <n v="12.628341266935189"/>
    <n v="39.763259031514224"/>
    <n v="1.7855920000000001"/>
    <n v="1.523728"/>
    <n v="-0.23706089999999999"/>
    <n v="0.45092310000000002"/>
    <n v="4.531066"/>
    <s v="UKX Index"/>
    <n v="-34.055840000000003"/>
    <n v="-14.78187"/>
    <n v="-15.134790000000001"/>
    <n v="-1.953133"/>
    <n v="0.10936444228263101"/>
    <n v="4025.4089999999997"/>
    <n v="937.61529443531208"/>
    <n v="788.57948560205023"/>
    <n v="4.8528361320495614"/>
    <n v="4.0812053680419922"/>
    <n v="8.2012071431076006"/>
    <n v="1.5618368994110641"/>
    <n v="0.83555094609163105"/>
  </r>
  <r>
    <x v="7"/>
    <s v="ATRESMEDIA CORP DE MEDIOS DE"/>
    <n v="853.72144960000003"/>
    <n v="856.4054496"/>
    <n v="4.3808831043557905"/>
    <n v="4.7698652126207914"/>
    <n v="4.6142535000000002"/>
    <n v="7.1787319437429122"/>
    <n v="7.0559701492537306"/>
    <n v="6.7656529516994626"/>
    <s v="#N/A N/A"/>
    <n v="4.7593867570744939"/>
    <n v="3.782"/>
    <s v="#N/A N/A"/>
    <s v="#N/A N/A"/>
    <s v="#N/A N/A"/>
    <s v="#N/A N/A"/>
    <n v="2.3789187924837581E-3"/>
    <n v="25.984400000000001"/>
    <n v="9.8551399296222488"/>
    <n v="131.98762775685847"/>
    <n v="19.650517730415658"/>
    <n v="17.591442924350982"/>
    <n v="193.48592000409971"/>
    <n v="13.047347557155383"/>
    <n v="2.0028022372333036"/>
    <n v="18.149828042519939"/>
    <n v="8.3810660768002023"/>
    <n v="22.581848758714234"/>
    <n v="1.043401"/>
    <n v="1.028934"/>
    <n v="0.27650239999999998"/>
    <n v="0.36239690000000002"/>
    <n v="4.4583729999999999"/>
    <s v="IBEX Index"/>
    <n v="9.2511700000000001"/>
    <n v="1.166676"/>
    <n v="-14.95612"/>
    <n v="-1.664064"/>
    <n v="0.52600002288818404"/>
    <n v="225.7328"/>
    <n v="172.506"/>
    <n v="154.43"/>
    <n v="5.5455899238586426"/>
    <n v="4.9644966125488281"/>
    <n v="7.1787319437429122"/>
    <n v="4.25"/>
    <n v="3.150000095367432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M6-METROPOLE TELEVISION"/>
    <n v="2248.9094719199998"/>
    <n v="2057.0094719199997"/>
    <n v="4.4511537316798195"/>
    <n v="5.0064118574262233"/>
    <n v="4.9227593935724414"/>
    <n v="7.9922372941975848"/>
    <n v="9.7586396050466266"/>
    <n v="9.3582325092056813"/>
    <n v="5.020482653688366"/>
    <n v="8.4317032040472188"/>
    <n v="17.79"/>
    <s v="#N/A N/A"/>
    <s v="#N/A N/A"/>
    <s v="#N/A N/A"/>
    <s v="#N/A N/A"/>
    <n v="-1.6375779374598927"/>
    <n v="35.046500000000002"/>
    <n v="9.1708542713567986"/>
    <n v="17.390153520381169"/>
    <n v="31.897295742232451"/>
    <n v="24.532508630609897"/>
    <n v="15.274255111071094"/>
    <n v="17.763416160266829"/>
    <n v="0.7264096662830839"/>
    <n v="19.257570142667994"/>
    <n v="12.689523379266321"/>
    <n v="22.283803698502279"/>
    <n v="0.96953829999999996"/>
    <n v="0.97969220000000001"/>
    <n v="0.2716963"/>
    <n v="0.37982139999999998"/>
    <n v="3.6734719999999998"/>
    <s v="CAC Index"/>
    <n v="3.1406040000000002"/>
    <n v="6.6060400000000001"/>
    <n v="1.424803"/>
    <n v="-0.50334590000000001"/>
    <n v="2.226000070571899"/>
    <n v="126.41419999999999"/>
    <n v="443.5"/>
    <n v="341.1"/>
    <n v="6.030517578125"/>
    <n v="4.638127326965332"/>
    <n v="7.9922372941975848"/>
    <n v="19.440000534057617"/>
    <n v="15.340000152587891"/>
  </r>
  <r>
    <x v="1"/>
    <s v="TELEVISION FRANCAISE (T.F.1)"/>
    <n v="1793.3376102"/>
    <n v="1657.3376102"/>
    <n v="2.3054327079379067"/>
    <n v="2.3318151392191346"/>
    <n v="2.6058767455974841"/>
    <n v="8.0243144794260832"/>
    <n v="9.0063424947145858"/>
    <n v="7.8165137614678892"/>
    <n v="5.8726260058305"/>
    <n v="5.2816900009280641"/>
    <n v="8.52"/>
    <s v="#N/A N/A"/>
    <s v="#N/A N/A"/>
    <s v="#N/A N/A"/>
    <s v="#N/A N/A"/>
    <n v="-0.64042375148308806"/>
    <n v="29.945699999999999"/>
    <n v="16.592208291300409"/>
    <n v="34.96797804208601"/>
    <n v="30.390177578179717"/>
    <n v="14.020847925507807"/>
    <n v="116.5039572440615"/>
    <n v="9.5186329195522639"/>
    <n v="13.682996168266657"/>
    <n v="9.795247834804826"/>
    <n v="6.5218496080413582"/>
    <n v="13.692096224171932"/>
    <n v="1.0026710000000001"/>
    <n v="1.001781"/>
    <n v="0.28988770000000003"/>
    <n v="0.42150650000000001"/>
    <n v="3.485115"/>
    <s v="CAC Index"/>
    <n v="9.8087459999999993"/>
    <n v="1.614682"/>
    <n v="-1.629138"/>
    <n v="-3.2917130000000001"/>
    <n v="1.070000052452087"/>
    <n v="210.48559999999998"/>
    <n v="737.6"/>
    <n v="340.3"/>
    <n v="4.8702249526977539"/>
    <n v="2.246932744979858"/>
    <n v="8.0243144794260832"/>
    <n v="9.5"/>
    <n v="7.4699997901916504"/>
  </r>
  <r>
    <x v="2"/>
    <s v="PROSIEBENSAT.1 MEDIA SE"/>
    <n v="2576.98"/>
    <n v="5109.9799999999996"/>
    <n v="6.7737965803087885"/>
    <n v="6.1339364060753807"/>
    <n v="5.8834609623353398"/>
    <n v="5.4354585613219948"/>
    <n v="6.8610421836228284"/>
    <n v="6.4377182770663568"/>
    <n v="1.8557655230898595"/>
    <n v="4.4303798330627773"/>
    <n v="11.06"/>
    <s v="#N/A N/A"/>
    <s v="#N/A N/A"/>
    <s v="#N/A N/A"/>
    <s v="#N/A N/A"/>
    <n v="9.6771943376199534"/>
    <s v="#N/A N/A"/>
    <n v="11.072664359861591"/>
    <n v="19.094766619519095"/>
    <n v="18.736092567868269"/>
    <n v="13.150867823765019"/>
    <n v="60.049754360217712"/>
    <n v="8.3493142371647089"/>
    <n v="4.8509123275478423"/>
    <n v="5.8056670679631397"/>
    <n v="5.490462127863359"/>
    <n v="24.293828541157783"/>
    <n v="1.2847580000000001"/>
    <n v="1.1898390000000001"/>
    <n v="4.8989770000000002E-2"/>
    <n v="0.47287430000000003"/>
    <n v="4.0512920000000001"/>
    <s v="DAX Index"/>
    <n v="-36.893050000000002"/>
    <n v="-5.9004669999999999"/>
    <n v="-19.427330000000001"/>
    <n v="-4.5317189999999998"/>
    <n v="1.9900000095367432"/>
    <n v="233"/>
    <n v="1116"/>
    <n v="888"/>
    <n v="10.45109748840332"/>
    <n v="8.3159275054931641"/>
    <n v="6.1815071180054462"/>
    <n v="53.450000762939453"/>
    <n v="43.119998931884766"/>
  </r>
  <r>
    <x v="3"/>
    <s v="RTL GROUP"/>
    <n v="8046.6259120000004"/>
    <n v="9249.6259119999995"/>
    <n v="9.0921302418279577"/>
    <n v="6.7466272151714071"/>
    <n v="6.2266078168966672"/>
    <n v="6.1815071180054462"/>
    <n v="11.828935395814376"/>
    <n v="10.586319218241043"/>
    <n v="11.248283245858254"/>
    <n v="5.7692307692307692"/>
    <n v="52"/>
    <s v="#N/A N/A"/>
    <s v="#N/A N/A"/>
    <s v="#N/A N/A"/>
    <s v="#N/A N/A"/>
    <n v="2.4446809616805694"/>
    <s v="#N/A N/A"/>
    <n v="10.304138274887817"/>
    <n v="3.3620450125034687"/>
    <n v="16.814825975591383"/>
    <n v="13.379538948320025"/>
    <n v="0.22127460080642672"/>
    <n v="7.1841193310230516"/>
    <n v="2.9380744312189244"/>
    <n v="11.085250439131805"/>
    <n v="4.8758564270375295"/>
    <n v="11.567442988840369"/>
    <n v="0.76788880000000004"/>
    <n v="0.84525919999999999"/>
    <n v="3.0495319999999999E-2"/>
    <n v="0.41185470000000002"/>
    <n v="3.0608170000000001"/>
    <s v="LUXXX Index"/>
    <n v="10.848710000000001"/>
    <n v="5.1910930000000004"/>
    <n v="-2.6784189999999999"/>
    <n v="3.1745999999999999"/>
    <n v="8.4099998474121094"/>
    <n v="154.74279999999999"/>
    <n v="842"/>
    <n v="591"/>
    <n v="8.6463289260864258"/>
    <n v="6.0688600540161133"/>
    <n v="5.4354585613219948"/>
    <n v="19"/>
    <n v="9.6899995803833008"/>
  </r>
  <r>
    <x v="4"/>
    <s v="MFE-MEDIAFOREUROPE NV-CL B"/>
    <n v="1809.000801356"/>
    <n v="3274.2008013559998"/>
    <n v="5.1086484094241928"/>
    <n v="4.543292257528095"/>
    <n v="5.5778548575059625"/>
    <n v="4.9731237849190331"/>
    <n v="5.2472826086956523"/>
    <n v="6.31045751633987"/>
    <s v="#N/A N/A"/>
    <n v="17.338492659198874"/>
    <n v="0.96550000000000002"/>
    <s v="#N/A N/A"/>
    <s v="#N/A N/A"/>
    <s v="#N/A N/A"/>
    <s v="#N/A N/A"/>
    <n v="0.53033864435561495"/>
    <n v="30.2807"/>
    <n v="11.453982985305483"/>
    <n v="18.065848621066721"/>
    <n v="33.717299285268204"/>
    <n v="15.873291235861494"/>
    <n v="314.67732442077278"/>
    <n v="13.981972104642287"/>
    <n v="2.3197948168280824"/>
    <n v="9.2093429535279654"/>
    <n v="9.6542666858320132"/>
    <n v="15.766369327073551"/>
    <n v="0.91897119999999999"/>
    <n v="0.94598079999999996"/>
    <n v="-0.17967549999999999"/>
    <n v="0.25287539999999997"/>
    <n v="4.7304529999999998"/>
    <s v="FTSEMIB Index"/>
    <n v="-22.20025"/>
    <n v="-11.603260000000001"/>
    <n v="-11.936360000000001"/>
    <n v="-8.0476150000000004"/>
    <n v="6.6961271703142006E-2"/>
    <n v="1181.2279999999998"/>
    <n v="971.8"/>
    <n v="457.5"/>
    <n v="7.1567230224609384"/>
    <n v="3.3692126274108891"/>
    <n v="4.9731237849190331"/>
    <n v="1.8135344824957571"/>
    <n v="0.88249999284744307"/>
  </r>
  <r>
    <x v="5"/>
    <s v="MEDIASET ESPANA COMUNICACION"/>
    <n v="1361.6463941119998"/>
    <n v="1132.7183941119997"/>
    <n v="3.0908903359076518"/>
    <n v="4.4062472784250248"/>
    <n v="4.3976938168970872"/>
    <n v="7.4155054492214658"/>
    <n v="6.7831513260530416"/>
    <n v="6.587878787878787"/>
    <n v="3.9489745019429554"/>
    <s v="#N/A N/A"/>
    <n v="4.3479999999999999"/>
    <s v="#N/A N/A"/>
    <s v="#N/A N/A"/>
    <s v="#N/A N/A"/>
    <s v="#N/A N/A"/>
    <n v="-0.73844189236496782"/>
    <n v="33.7819"/>
    <n v="5.0394268638679929"/>
    <n v="-9.5640872565127921"/>
    <n v="39.704727719758083"/>
    <n v="26.127421702396624"/>
    <n v="20.575127779751611"/>
    <n v="24.99243263303779"/>
    <n v="0.59289678699368764"/>
    <n v="15.3231830625706"/>
    <n v="12.554748990661063"/>
    <n v="18.088042797194699"/>
    <n v="0.98720929999999996"/>
    <n v="0.99147280000000004"/>
    <n v="0.14797360000000001"/>
    <n v="0.29302519999999999"/>
    <n v="4.9254759999999997"/>
    <s v="IBEX Index"/>
    <n v="-8.6938270000000006"/>
    <n v="-12.04824"/>
    <n v="-15.94233"/>
    <n v="-4.8993869999999999"/>
    <n v="0.60000002384185802"/>
    <n v="313.16609999999997"/>
    <n v="342.35599999999999"/>
    <n v="225.285"/>
    <n v="5.0279350280761719"/>
    <n v="3.3085978031158452"/>
    <n v="7.4155054492214658"/>
    <n v="5.8949999809265137"/>
    <n v="3.747999906539917"/>
  </r>
  <r>
    <x v="6"/>
    <s v="ITV PLC"/>
    <n v="3747.9301956634358"/>
    <n v="3966.9807353416136"/>
    <n v="0.78325031055900618"/>
    <n v="4.0952919560809784"/>
    <n v="4.3913020062965646"/>
    <n v="8.2012071431076006"/>
    <n v="5.5811594202898549"/>
    <n v="6.4722689075630244"/>
    <n v="20.702354802381276"/>
    <n v="4.2846013403223635"/>
    <n v="0.93106820000000001"/>
    <n v="45.928600000000003"/>
    <n v="62.905299999999997"/>
    <n v="87.109399999999994"/>
    <n v="142.3229"/>
    <n v="0.43361007968080595"/>
    <n v="41.805399999999999"/>
    <n v="24.163969795037755"/>
    <n v="29.006410256410255"/>
    <n v="23.31306110628439"/>
    <n v="19.606139588763394"/>
    <n v="40.031941098448968"/>
    <n v="14.981754995655953"/>
    <n v="0.63712713582392122"/>
    <n v="22.879433473848103"/>
    <n v="12.628341266935189"/>
    <n v="39.763259031514224"/>
    <n v="1.7855920000000001"/>
    <n v="1.523728"/>
    <n v="-0.23706089999999999"/>
    <n v="0.45092310000000002"/>
    <n v="4.531066"/>
    <s v="UKX Index"/>
    <n v="-34.055840000000003"/>
    <n v="-14.78187"/>
    <n v="-15.134790000000001"/>
    <n v="-1.953133"/>
    <n v="0.10936444228263101"/>
    <n v="4025.4089999999997"/>
    <n v="937.61529443531208"/>
    <n v="788.57948560205023"/>
    <n v="4.8528361320495614"/>
    <n v="4.0812053680419922"/>
    <n v="8.2012071431076006"/>
    <n v="1.5618368994110641"/>
    <n v="0.83555094609163105"/>
  </r>
  <r>
    <x v="7"/>
    <s v="ATRESMEDIA CORP DE MEDIOS DE"/>
    <n v="853.72144960000003"/>
    <n v="856.4054496"/>
    <n v="4.3808831043557905"/>
    <n v="4.7698652126207914"/>
    <n v="4.6142535000000002"/>
    <n v="7.1787319437429122"/>
    <n v="7.0559701492537306"/>
    <n v="6.7656529516994626"/>
    <s v="#N/A N/A"/>
    <n v="4.7593867570744939"/>
    <n v="3.782"/>
    <s v="#N/A N/A"/>
    <s v="#N/A N/A"/>
    <s v="#N/A N/A"/>
    <s v="#N/A N/A"/>
    <n v="2.3789187924837581E-3"/>
    <n v="25.984400000000001"/>
    <n v="9.8551399296222488"/>
    <n v="131.98762775685847"/>
    <n v="19.650517730415658"/>
    <n v="17.591442924350982"/>
    <n v="193.48592000409971"/>
    <n v="13.047347557155383"/>
    <n v="2.0028022372333036"/>
    <n v="18.149828042519939"/>
    <n v="8.3810660768002023"/>
    <n v="22.581848758714234"/>
    <n v="1.043401"/>
    <n v="1.028934"/>
    <n v="0.27650239999999998"/>
    <n v="0.36239690000000002"/>
    <n v="4.4583729999999999"/>
    <s v="IBEX Index"/>
    <n v="9.2511700000000001"/>
    <n v="1.166676"/>
    <n v="-14.95612"/>
    <n v="-1.664064"/>
    <n v="0.52600002288818404"/>
    <n v="225.7328"/>
    <n v="172.506"/>
    <n v="154.43"/>
    <n v="5.5455899238586426"/>
    <n v="4.9644966125488281"/>
    <n v="7.1787319437429122"/>
    <n v="4.25"/>
    <n v="3.150000095367432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M6-METROPOLE TELEVISION"/>
    <n v="2248.9094719199998"/>
    <n v="2057.0094719199997"/>
    <n v="4.4511537316798195"/>
    <n v="5.0064118574262233"/>
    <n v="4.9227593935724414"/>
    <n v="7.9922372941975848"/>
    <n v="9.7586396050466266"/>
    <n v="9.3582325092056813"/>
    <n v="5.020482653688366"/>
    <n v="8.4317032040472188"/>
    <n v="17.79"/>
    <s v="#N/A N/A"/>
    <s v="#N/A N/A"/>
    <s v="#N/A N/A"/>
    <s v="#N/A N/A"/>
    <n v="-1.6375779374598927"/>
    <n v="35.046500000000002"/>
    <n v="9.1708542713567986"/>
    <n v="17.390153520381169"/>
    <n v="31.897295742232451"/>
    <n v="24.532508630609897"/>
    <n v="15.274255111071094"/>
    <n v="17.763416160266829"/>
    <n v="0.7264096662830839"/>
    <n v="19.257570142667994"/>
    <n v="12.689523379266321"/>
    <n v="22.283803698502279"/>
    <n v="0.96953829999999996"/>
    <n v="0.97969220000000001"/>
    <n v="0.2716963"/>
    <n v="0.37982139999999998"/>
    <n v="3.6734719999999998"/>
    <s v="CAC Index"/>
    <n v="3.1406040000000002"/>
    <n v="6.6060400000000001"/>
    <n v="1.424803"/>
    <n v="-0.50334590000000001"/>
    <n v="2.226000070571899"/>
    <n v="126.41419999999999"/>
    <n v="443.5"/>
    <n v="341.1"/>
    <n v="6.030517578125"/>
    <n v="4.638127326965332"/>
    <n v="7.9922372941975848"/>
    <n v="19.440000534057617"/>
    <n v="15.340000152587891"/>
  </r>
  <r>
    <x v="1"/>
    <s v="TELEVISION FRANCAISE (T.F.1)"/>
    <n v="1793.3376102"/>
    <n v="1657.3376102"/>
    <n v="2.3054327079379067"/>
    <n v="2.3318151392191346"/>
    <n v="2.6058767455974841"/>
    <n v="8.0243144794260832"/>
    <n v="9.0063424947145858"/>
    <n v="7.8165137614678892"/>
    <n v="5.8726260058305"/>
    <n v="5.2816900009280641"/>
    <n v="8.52"/>
    <s v="#N/A N/A"/>
    <s v="#N/A N/A"/>
    <s v="#N/A N/A"/>
    <s v="#N/A N/A"/>
    <n v="-0.64042375148308806"/>
    <n v="29.945699999999999"/>
    <n v="16.592208291300409"/>
    <n v="34.96797804208601"/>
    <n v="30.390177578179717"/>
    <n v="14.020847925507807"/>
    <n v="116.5039572440615"/>
    <n v="9.5186329195522639"/>
    <n v="13.682996168266657"/>
    <n v="9.795247834804826"/>
    <n v="6.5218496080413582"/>
    <n v="13.692096224171932"/>
    <n v="1.0026710000000001"/>
    <n v="1.001781"/>
    <n v="0.28988770000000003"/>
    <n v="0.42150650000000001"/>
    <n v="3.485115"/>
    <s v="CAC Index"/>
    <n v="9.8087459999999993"/>
    <n v="1.614682"/>
    <n v="-1.629138"/>
    <n v="-3.2917130000000001"/>
    <n v="1.070000052452087"/>
    <n v="210.48559999999998"/>
    <n v="737.6"/>
    <n v="340.3"/>
    <n v="4.8702249526977539"/>
    <n v="2.246932744979858"/>
    <n v="8.0243144794260832"/>
    <n v="9.5"/>
    <n v="7.469999790191650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MMT FP Equity"/>
    <x v="0"/>
    <n v="2248.9094719199998"/>
    <n v="2057.0094719199997"/>
    <n v="4.4511537316798195"/>
    <n v="5.0064118574262233"/>
    <n v="4.9227593935724414"/>
    <n v="7.9922372941975848"/>
    <n v="9.7586396050466266"/>
    <n v="9.3582325092056813"/>
    <n v="5.020482653688366"/>
    <n v="8.4317032040472188"/>
    <n v="17.79"/>
    <s v="#N/A N/A"/>
    <s v="#N/A N/A"/>
    <s v="#N/A N/A"/>
    <s v="#N/A N/A"/>
    <n v="-1.6375779374598927"/>
    <n v="35.046500000000002"/>
    <n v="9.1708542713567986"/>
    <n v="17.390153520381169"/>
    <n v="31.897295742232451"/>
    <n v="24.532508630609897"/>
    <n v="15.274255111071094"/>
    <n v="17.763416160266829"/>
    <n v="0.7264096662830839"/>
    <n v="19.257570142667994"/>
    <n v="12.689523379266321"/>
    <n v="22.283803698502279"/>
    <n v="0.96953829999999996"/>
    <n v="0.97969220000000001"/>
    <n v="0.2716963"/>
    <n v="0.37982139999999998"/>
    <n v="3.6734719999999998"/>
    <s v="CAC Index"/>
    <n v="3.1406040000000002"/>
    <n v="6.6060400000000001"/>
    <n v="1.424803"/>
    <n v="-0.50334590000000001"/>
    <n v="2.226000070571899"/>
    <n v="126.41419999999999"/>
    <n v="443.5"/>
    <n v="341.1"/>
    <n v="6.030517578125"/>
    <n v="4.638127326965332"/>
    <n v="7.9922372941975848"/>
    <n v="19.440000534057617"/>
    <n v="15.340000152587891"/>
  </r>
  <r>
    <s v="TFI FP Equity"/>
    <x v="1"/>
    <n v="1793.3376102"/>
    <n v="1657.3376102"/>
    <n v="2.3054327079379067"/>
    <n v="2.3318151392191346"/>
    <n v="2.6058767455974841"/>
    <n v="8.0243144794260832"/>
    <n v="9.0063424947145858"/>
    <n v="7.8165137614678892"/>
    <n v="5.8726260058305"/>
    <n v="5.2816900009280641"/>
    <n v="8.52"/>
    <s v="#N/A N/A"/>
    <s v="#N/A N/A"/>
    <s v="#N/A N/A"/>
    <s v="#N/A N/A"/>
    <n v="-0.64042375148308806"/>
    <n v="29.945699999999999"/>
    <n v="16.592208291300409"/>
    <n v="34.96797804208601"/>
    <n v="30.390177578179717"/>
    <n v="14.020847925507807"/>
    <n v="116.5039572440615"/>
    <n v="9.5186329195522639"/>
    <n v="13.682996168266657"/>
    <n v="9.795247834804826"/>
    <n v="6.5218496080413582"/>
    <n v="13.692096224171932"/>
    <n v="1.0026710000000001"/>
    <n v="1.001781"/>
    <n v="0.28988770000000003"/>
    <n v="0.42150650000000001"/>
    <n v="3.485115"/>
    <s v="CAC Index"/>
    <n v="9.8087459999999993"/>
    <n v="1.614682"/>
    <n v="-1.629138"/>
    <n v="-3.2917130000000001"/>
    <n v="1.070000052452087"/>
    <n v="210.48559999999998"/>
    <n v="737.6"/>
    <n v="340.3"/>
    <n v="4.8702249526977539"/>
    <n v="2.246932744979858"/>
    <n v="8.0243144794260832"/>
    <n v="9.5"/>
    <n v="7.4699997901916504"/>
  </r>
  <r>
    <s v="PSM GR Equity"/>
    <x v="2"/>
    <n v="2576.98"/>
    <n v="5109.9799999999996"/>
    <n v="6.7737965803087885"/>
    <n v="6.1339364060753807"/>
    <n v="5.8834609623353398"/>
    <n v="5.4354585613219948"/>
    <n v="6.8610421836228284"/>
    <n v="6.4377182770663568"/>
    <n v="1.8557655230898595"/>
    <n v="4.4303798330627773"/>
    <n v="11.06"/>
    <s v="#N/A N/A"/>
    <s v="#N/A N/A"/>
    <s v="#N/A N/A"/>
    <s v="#N/A N/A"/>
    <n v="9.6771943376199534"/>
    <s v="#N/A N/A"/>
    <n v="11.072664359861591"/>
    <n v="19.094766619519095"/>
    <n v="18.736092567868269"/>
    <n v="13.150867823765019"/>
    <n v="60.049754360217712"/>
    <n v="8.3493142371647089"/>
    <n v="4.8509123275478423"/>
    <n v="5.8056670679631397"/>
    <n v="5.490462127863359"/>
    <n v="24.293828541157783"/>
    <n v="1.2847580000000001"/>
    <n v="1.1898390000000001"/>
    <n v="4.8989770000000002E-2"/>
    <n v="0.47287430000000003"/>
    <n v="4.0512920000000001"/>
    <s v="DAX Index"/>
    <n v="-36.893050000000002"/>
    <n v="-5.9004669999999999"/>
    <n v="-19.427330000000001"/>
    <n v="-4.5317189999999998"/>
    <n v="1.9900000095367432"/>
    <n v="233"/>
    <n v="1116"/>
    <n v="888"/>
    <n v="10.45109748840332"/>
    <n v="8.3159275054931641"/>
    <n v="6.1815071180054462"/>
    <n v="53.450000762939453"/>
    <n v="43.119998931884766"/>
  </r>
  <r>
    <s v="RTL LX Equity"/>
    <x v="3"/>
    <n v="8046.6259120000004"/>
    <n v="9249.6259119999995"/>
    <n v="9.0921302418279577"/>
    <n v="6.7466272151714071"/>
    <n v="6.2266078168966672"/>
    <n v="6.1815071180054462"/>
    <n v="11.828935395814376"/>
    <n v="10.586319218241043"/>
    <n v="11.248283245858254"/>
    <n v="5.7692307692307692"/>
    <n v="52"/>
    <s v="#N/A N/A"/>
    <s v="#N/A N/A"/>
    <s v="#N/A N/A"/>
    <s v="#N/A N/A"/>
    <n v="2.4446809616805694"/>
    <s v="#N/A N/A"/>
    <n v="10.304138274887817"/>
    <n v="3.3620450125034687"/>
    <n v="16.814825975591383"/>
    <n v="13.379538948320025"/>
    <n v="0.22127460080642672"/>
    <n v="7.1841193310230516"/>
    <n v="2.9380744312189244"/>
    <n v="11.085250439131805"/>
    <n v="4.8758564270375295"/>
    <n v="11.567442988840369"/>
    <n v="0.76788880000000004"/>
    <n v="0.84525919999999999"/>
    <n v="3.0495319999999999E-2"/>
    <n v="0.41185470000000002"/>
    <n v="3.0608170000000001"/>
    <s v="LUXXX Index"/>
    <n v="10.848710000000001"/>
    <n v="5.1910930000000004"/>
    <n v="-2.6784189999999999"/>
    <n v="3.1745999999999999"/>
    <n v="8.4099998474121094"/>
    <n v="154.74279999999999"/>
    <n v="842"/>
    <n v="591"/>
    <n v="8.6463289260864258"/>
    <n v="6.0688600540161133"/>
    <n v="5.4354585613219948"/>
    <n v="19"/>
    <n v="9.6899995803833008"/>
  </r>
  <r>
    <s v="MFEB IM Equity"/>
    <x v="4"/>
    <n v="1809.000801356"/>
    <n v="3274.2008013559998"/>
    <n v="5.1086484094241928"/>
    <n v="4.543292257528095"/>
    <n v="5.5778548575059625"/>
    <n v="4.9731237849190331"/>
    <n v="5.2472826086956523"/>
    <n v="6.31045751633987"/>
    <s v="#N/A N/A"/>
    <n v="17.338492659198874"/>
    <n v="0.96550000000000002"/>
    <s v="#N/A N/A"/>
    <s v="#N/A N/A"/>
    <s v="#N/A N/A"/>
    <s v="#N/A N/A"/>
    <n v="0.53033864435561495"/>
    <n v="30.2807"/>
    <n v="11.453982985305483"/>
    <n v="18.065848621066721"/>
    <n v="33.717299285268204"/>
    <n v="15.873291235861494"/>
    <n v="314.67732442077278"/>
    <n v="13.981972104642287"/>
    <n v="2.3197948168280824"/>
    <n v="9.2093429535279654"/>
    <n v="9.6542666858320132"/>
    <n v="15.766369327073551"/>
    <n v="0.91897119999999999"/>
    <n v="0.94598079999999996"/>
    <n v="-0.17967549999999999"/>
    <n v="0.25287539999999997"/>
    <n v="4.7304529999999998"/>
    <s v="FTSEMIB Index"/>
    <n v="-22.20025"/>
    <n v="-11.603260000000001"/>
    <n v="-11.936360000000001"/>
    <n v="-8.0476150000000004"/>
    <n v="6.6961271703142006E-2"/>
    <n v="1181.2279999999998"/>
    <n v="971.8"/>
    <n v="457.5"/>
    <n v="7.1567230224609384"/>
    <n v="3.3692126274108891"/>
    <n v="4.9731237849190331"/>
    <n v="1.8135344824957571"/>
    <n v="0.88249999284744307"/>
  </r>
  <r>
    <s v="TL5 SM Equity"/>
    <x v="5"/>
    <n v="1361.6463941119998"/>
    <n v="1132.7183941119997"/>
    <n v="3.0908903359076518"/>
    <n v="4.4062472784250248"/>
    <n v="4.3976938168970872"/>
    <n v="7.4155054492214658"/>
    <n v="6.7831513260530416"/>
    <n v="6.587878787878787"/>
    <n v="3.9489745019429554"/>
    <s v="#N/A N/A"/>
    <n v="4.3479999999999999"/>
    <s v="#N/A N/A"/>
    <s v="#N/A N/A"/>
    <s v="#N/A N/A"/>
    <s v="#N/A N/A"/>
    <n v="-0.73844189236496782"/>
    <n v="33.7819"/>
    <n v="5.0394268638679929"/>
    <n v="-9.5640872565127921"/>
    <n v="39.704727719758083"/>
    <n v="26.127421702396624"/>
    <n v="20.575127779751611"/>
    <n v="24.99243263303779"/>
    <n v="0.59289678699368764"/>
    <n v="15.3231830625706"/>
    <n v="12.554748990661063"/>
    <n v="18.088042797194699"/>
    <n v="0.98720929999999996"/>
    <n v="0.99147280000000004"/>
    <n v="0.14797360000000001"/>
    <n v="0.29302519999999999"/>
    <n v="4.9254759999999997"/>
    <s v="IBEX Index"/>
    <n v="-8.6938270000000006"/>
    <n v="-12.04824"/>
    <n v="-15.94233"/>
    <n v="-4.8993869999999999"/>
    <n v="0.60000002384185802"/>
    <n v="313.16609999999997"/>
    <n v="342.35599999999999"/>
    <n v="225.285"/>
    <n v="5.0279350280761719"/>
    <n v="3.3085978031158452"/>
    <n v="7.4155054492214658"/>
    <n v="5.8949999809265137"/>
    <n v="3.747999906539917"/>
  </r>
  <r>
    <s v="ITV LN Equity"/>
    <x v="6"/>
    <n v="3747.9301956634358"/>
    <n v="3966.9807353416136"/>
    <n v="0.78325031055900618"/>
    <n v="4.0952919560809784"/>
    <n v="4.3913020062965646"/>
    <n v="8.2012071431076006"/>
    <n v="5.5811594202898549"/>
    <n v="6.4722689075630244"/>
    <n v="20.702354802381276"/>
    <n v="4.2846013403223635"/>
    <n v="0.93106820000000001"/>
    <n v="45.928600000000003"/>
    <n v="62.905299999999997"/>
    <n v="87.109399999999994"/>
    <n v="142.3229"/>
    <n v="0.43361007968080595"/>
    <n v="41.805399999999999"/>
    <n v="24.163969795037755"/>
    <n v="29.006410256410255"/>
    <n v="23.31306110628439"/>
    <n v="19.606139588763394"/>
    <n v="40.031941098448968"/>
    <n v="14.981754995655953"/>
    <n v="0.63712713582392122"/>
    <n v="22.879433473848103"/>
    <n v="12.628341266935189"/>
    <n v="39.763259031514224"/>
    <n v="1.7855920000000001"/>
    <n v="1.523728"/>
    <n v="-0.23706089999999999"/>
    <n v="0.45092310000000002"/>
    <n v="4.531066"/>
    <s v="UKX Index"/>
    <n v="-34.055840000000003"/>
    <n v="-14.78187"/>
    <n v="-15.134790000000001"/>
    <n v="-1.953133"/>
    <n v="0.10936444228263101"/>
    <n v="4025.4089999999997"/>
    <n v="937.61529443531208"/>
    <n v="788.57948560205023"/>
    <n v="4.8528361320495614"/>
    <n v="4.0812053680419922"/>
    <n v="8.2012071431076006"/>
    <n v="1.5618368994110641"/>
    <n v="0.83555094609163105"/>
  </r>
  <r>
    <s v="A3M SM Equity"/>
    <x v="7"/>
    <n v="853.72144960000003"/>
    <n v="856.4054496"/>
    <n v="4.3808831043557905"/>
    <n v="4.7698652126207914"/>
    <n v="4.6142535000000002"/>
    <n v="7.1787319437429122"/>
    <n v="7.0559701492537306"/>
    <n v="6.7656529516994626"/>
    <s v="#N/A N/A"/>
    <n v="4.7593867570744939"/>
    <n v="3.782"/>
    <s v="#N/A N/A"/>
    <s v="#N/A N/A"/>
    <s v="#N/A N/A"/>
    <s v="#N/A N/A"/>
    <n v="2.3789187924837581E-3"/>
    <n v="25.984400000000001"/>
    <n v="9.8551399296222488"/>
    <n v="131.98762775685847"/>
    <n v="19.650517730415658"/>
    <n v="17.591442924350982"/>
    <n v="193.48592000409971"/>
    <n v="13.047347557155383"/>
    <n v="2.0028022372333036"/>
    <n v="18.149828042519939"/>
    <n v="8.3810660768002023"/>
    <n v="22.581848758714234"/>
    <n v="1.043401"/>
    <n v="1.028934"/>
    <n v="0.27650239999999998"/>
    <n v="0.36239690000000002"/>
    <n v="4.4583729999999999"/>
    <s v="IBEX Index"/>
    <n v="9.2511700000000001"/>
    <n v="1.166676"/>
    <n v="-14.95612"/>
    <n v="-1.664064"/>
    <n v="0.52600002288818404"/>
    <n v="225.7328"/>
    <n v="172.506"/>
    <n v="154.43"/>
    <n v="5.5455899238586426"/>
    <n v="4.9644966125488281"/>
    <n v="7.1787319437429122"/>
    <n v="4.25"/>
    <n v="3.15000009536743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1979B-7B82-421A-BD57-A1443E2741A4}" name="PivotTable3" cacheId="8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 chartFormat="1">
  <location ref="A1:C11" firstHeaderRow="1" firstDataRow="2" firstDataCol="1"/>
  <pivotFields count="48">
    <pivotField axis="axisRow" showAll="0">
      <items count="9">
        <item x="7"/>
        <item x="6"/>
        <item x="4"/>
        <item x="0"/>
        <item x="2"/>
        <item x="3"/>
        <item x="1"/>
        <item x="5"/>
        <item t="default"/>
      </items>
    </pivotField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numFmtId="2" showAll="0"/>
    <pivotField numFmtId="2" showAll="0"/>
    <pivotField numFmtId="2" showAll="0"/>
    <pivotField numFmtId="2" showAll="0"/>
    <pivotField dataField="1"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 EPS" fld="39" baseField="0" baseItem="0"/>
    <dataField name=" Net Debt per Share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06B876-6D58-4D15-8D1B-51B55B64EC43}" name="PivotTable4" cacheId="1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 chartFormat="1">
  <location ref="A1:D11" firstHeaderRow="1" firstDataRow="2" firstDataCol="1"/>
  <pivotFields count="48">
    <pivotField axis="axisRow" showAll="0">
      <items count="9">
        <item x="7"/>
        <item x="6"/>
        <item x="4"/>
        <item x="0"/>
        <item x="2"/>
        <item x="3"/>
        <item x="1"/>
        <item x="5"/>
        <item t="default"/>
      </items>
    </pivotField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dataField="1" numFmtId="2" showAll="0"/>
    <pivotField dataField="1" numFmtId="2" showAll="0"/>
    <pivotField dataField="1"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Return on Assets" fld="27" baseField="0" baseItem="0"/>
    <dataField name=" Return on Equity" fld="28" baseField="0" baseItem="0"/>
    <dataField name=" Return on Invested Capital" fld="26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F39E88-5040-4DA3-9FA6-FC053A4E27E4}" name="PivotTable5" cacheId="14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 chartFormat="1">
  <location ref="A1:D5" firstHeaderRow="1" firstDataRow="2" firstDataCol="1"/>
  <pivotFields count="48">
    <pivotField axis="axisRow" showAll="0">
      <items count="3">
        <item x="0"/>
        <item x="1"/>
        <item t="default"/>
      </items>
    </pivotField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dataField="1" numFmtId="2" showAll="0"/>
    <pivotField dataField="1" numFmtId="2" showAll="0"/>
    <pivotField dataField="1"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Return on Assets" fld="27" baseField="0" baseItem="0"/>
    <dataField name=" Return on Equity" fld="28" baseField="0" baseItem="0"/>
    <dataField name=" Return on Invested Capital" fld="26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7A5DB-775C-4EF9-AE4E-4552913C6E59}" name="PivotTable6" cacheId="17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 chartFormat="1">
  <location ref="A1:C11" firstHeaderRow="1" firstDataRow="2" firstDataCol="1"/>
  <pivotFields count="48">
    <pivotField showAll="0"/>
    <pivotField axis="axisRow" showAll="0">
      <items count="9">
        <item x="7"/>
        <item x="6"/>
        <item x="0"/>
        <item x="5"/>
        <item x="4"/>
        <item x="2"/>
        <item x="3"/>
        <item x="1"/>
        <item t="default"/>
      </items>
    </pivotField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dataField="1" numFmtId="2" showAll="0"/>
    <pivotField numFmtId="2" showAll="0"/>
    <pivotField numFmtId="2" showAll="0"/>
    <pivotField dataField="1"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numFmtId="2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 EBITDA Growth (%)" fld="20" baseField="0" baseItem="0"/>
    <dataField name=" Net Income Growth (%)" fld="2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control" Target="../activeX/activeX3.xml"/><Relationship Id="rId11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image" Target="../media/image1.emf"/><Relationship Id="rId9" Type="http://schemas.openxmlformats.org/officeDocument/2006/relationships/control" Target="../activeX/activeX6.xml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A3395-2A31-4A05-BD85-BEC7F09D0637}">
  <sheetPr codeName="Sheet4"/>
  <dimension ref="A1:C11"/>
  <sheetViews>
    <sheetView workbookViewId="0"/>
  </sheetViews>
  <sheetFormatPr defaultRowHeight="14.4" x14ac:dyDescent="0.3"/>
  <cols>
    <col min="1" max="1" width="13.88671875" bestFit="1" customWidth="1"/>
    <col min="2" max="2" width="12" bestFit="1" customWidth="1"/>
    <col min="3" max="3" width="17.5546875" bestFit="1" customWidth="1"/>
  </cols>
  <sheetData>
    <row r="1" spans="1:3" x14ac:dyDescent="0.3">
      <c r="B1" s="86" t="s">
        <v>145</v>
      </c>
    </row>
    <row r="2" spans="1:3" x14ac:dyDescent="0.3">
      <c r="A2" s="86" t="s">
        <v>143</v>
      </c>
      <c r="B2" t="s">
        <v>148</v>
      </c>
      <c r="C2" t="s">
        <v>149</v>
      </c>
    </row>
    <row r="3" spans="1:3" x14ac:dyDescent="0.3">
      <c r="A3" s="87" t="s">
        <v>68</v>
      </c>
      <c r="B3" s="88">
        <v>0.52600002288818404</v>
      </c>
      <c r="C3" s="88">
        <v>2.3789187924837581E-3</v>
      </c>
    </row>
    <row r="4" spans="1:3" x14ac:dyDescent="0.3">
      <c r="A4" s="87" t="s">
        <v>65</v>
      </c>
      <c r="B4" s="88">
        <v>0.10936444228263101</v>
      </c>
      <c r="C4" s="88">
        <v>0.43361007968080595</v>
      </c>
    </row>
    <row r="5" spans="1:3" x14ac:dyDescent="0.3">
      <c r="A5" s="87" t="s">
        <v>59</v>
      </c>
      <c r="B5" s="88">
        <v>6.6961271703142006E-2</v>
      </c>
      <c r="C5" s="88">
        <v>0.53033864435561495</v>
      </c>
    </row>
    <row r="6" spans="1:3" x14ac:dyDescent="0.3">
      <c r="A6" s="87" t="s">
        <v>47</v>
      </c>
      <c r="B6" s="88">
        <v>2.226000070571899</v>
      </c>
      <c r="C6" s="88">
        <v>-1.6375779374598927</v>
      </c>
    </row>
    <row r="7" spans="1:3" x14ac:dyDescent="0.3">
      <c r="A7" s="87" t="s">
        <v>53</v>
      </c>
      <c r="B7" s="88">
        <v>1.9900000095367432</v>
      </c>
      <c r="C7" s="88">
        <v>9.6771943376199534</v>
      </c>
    </row>
    <row r="8" spans="1:3" x14ac:dyDescent="0.3">
      <c r="A8" s="87" t="s">
        <v>56</v>
      </c>
      <c r="B8" s="88">
        <v>8.4099998474121094</v>
      </c>
      <c r="C8" s="88">
        <v>2.4446809616805694</v>
      </c>
    </row>
    <row r="9" spans="1:3" x14ac:dyDescent="0.3">
      <c r="A9" s="87" t="s">
        <v>51</v>
      </c>
      <c r="B9" s="88">
        <v>1.070000052452087</v>
      </c>
      <c r="C9" s="88">
        <v>-0.64042375148308806</v>
      </c>
    </row>
    <row r="10" spans="1:3" x14ac:dyDescent="0.3">
      <c r="A10" s="87" t="s">
        <v>62</v>
      </c>
      <c r="B10" s="88">
        <v>0.60000002384185802</v>
      </c>
      <c r="C10" s="88">
        <v>-0.73844189236496782</v>
      </c>
    </row>
    <row r="11" spans="1:3" x14ac:dyDescent="0.3">
      <c r="A11" s="87" t="s">
        <v>144</v>
      </c>
      <c r="B11" s="88">
        <v>14.998325740688653</v>
      </c>
      <c r="C11" s="88">
        <v>10.071759360821479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00B-096E-473C-9884-30D9E2E4884B}">
  <sheetPr codeName="Sheet5"/>
  <dimension ref="A1:D11"/>
  <sheetViews>
    <sheetView workbookViewId="0"/>
  </sheetViews>
  <sheetFormatPr defaultRowHeight="14.4" x14ac:dyDescent="0.3"/>
  <cols>
    <col min="1" max="1" width="13.88671875" bestFit="1" customWidth="1"/>
    <col min="2" max="2" width="15.5546875" bestFit="1" customWidth="1"/>
    <col min="3" max="3" width="15.6640625" bestFit="1" customWidth="1"/>
    <col min="4" max="4" width="24" bestFit="1" customWidth="1"/>
  </cols>
  <sheetData>
    <row r="1" spans="1:4" x14ac:dyDescent="0.3">
      <c r="B1" s="86" t="s">
        <v>145</v>
      </c>
    </row>
    <row r="2" spans="1:4" x14ac:dyDescent="0.3">
      <c r="A2" s="86" t="s">
        <v>143</v>
      </c>
      <c r="B2" t="s">
        <v>150</v>
      </c>
      <c r="C2" t="s">
        <v>151</v>
      </c>
      <c r="D2" t="s">
        <v>152</v>
      </c>
    </row>
    <row r="3" spans="1:4" x14ac:dyDescent="0.3">
      <c r="A3" s="87" t="s">
        <v>68</v>
      </c>
      <c r="B3" s="88">
        <v>8.3810660768002023</v>
      </c>
      <c r="C3" s="88">
        <v>22.581848758714234</v>
      </c>
      <c r="D3" s="88">
        <v>18.149828042519939</v>
      </c>
    </row>
    <row r="4" spans="1:4" x14ac:dyDescent="0.3">
      <c r="A4" s="87" t="s">
        <v>65</v>
      </c>
      <c r="B4" s="88">
        <v>12.628341266935189</v>
      </c>
      <c r="C4" s="88">
        <v>39.763259031514224</v>
      </c>
      <c r="D4" s="88">
        <v>22.879433473848103</v>
      </c>
    </row>
    <row r="5" spans="1:4" x14ac:dyDescent="0.3">
      <c r="A5" s="87" t="s">
        <v>59</v>
      </c>
      <c r="B5" s="88">
        <v>9.6542666858320132</v>
      </c>
      <c r="C5" s="88">
        <v>15.766369327073551</v>
      </c>
      <c r="D5" s="88">
        <v>9.2093429535279654</v>
      </c>
    </row>
    <row r="6" spans="1:4" x14ac:dyDescent="0.3">
      <c r="A6" s="87" t="s">
        <v>47</v>
      </c>
      <c r="B6" s="88">
        <v>12.689523379266321</v>
      </c>
      <c r="C6" s="88">
        <v>22.283803698502279</v>
      </c>
      <c r="D6" s="88">
        <v>19.257570142667994</v>
      </c>
    </row>
    <row r="7" spans="1:4" x14ac:dyDescent="0.3">
      <c r="A7" s="87" t="s">
        <v>53</v>
      </c>
      <c r="B7" s="88">
        <v>5.490462127863359</v>
      </c>
      <c r="C7" s="88">
        <v>24.293828541157783</v>
      </c>
      <c r="D7" s="88">
        <v>5.8056670679631397</v>
      </c>
    </row>
    <row r="8" spans="1:4" x14ac:dyDescent="0.3">
      <c r="A8" s="87" t="s">
        <v>56</v>
      </c>
      <c r="B8" s="88">
        <v>4.8758564270375295</v>
      </c>
      <c r="C8" s="88">
        <v>11.567442988840369</v>
      </c>
      <c r="D8" s="88">
        <v>11.085250439131805</v>
      </c>
    </row>
    <row r="9" spans="1:4" x14ac:dyDescent="0.3">
      <c r="A9" s="87" t="s">
        <v>51</v>
      </c>
      <c r="B9" s="88">
        <v>6.5218496080413582</v>
      </c>
      <c r="C9" s="88">
        <v>13.692096224171932</v>
      </c>
      <c r="D9" s="88">
        <v>9.795247834804826</v>
      </c>
    </row>
    <row r="10" spans="1:4" x14ac:dyDescent="0.3">
      <c r="A10" s="87" t="s">
        <v>62</v>
      </c>
      <c r="B10" s="88">
        <v>12.554748990661063</v>
      </c>
      <c r="C10" s="88">
        <v>18.088042797194699</v>
      </c>
      <c r="D10" s="88">
        <v>15.3231830625706</v>
      </c>
    </row>
    <row r="11" spans="1:4" x14ac:dyDescent="0.3">
      <c r="A11" s="87" t="s">
        <v>144</v>
      </c>
      <c r="B11" s="88">
        <v>72.796114562437026</v>
      </c>
      <c r="C11" s="88">
        <v>168.03669136716908</v>
      </c>
      <c r="D11" s="88">
        <v>111.50552301703436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FD4D6-4B24-4011-80E0-CAFD8EA6E6D5}">
  <sheetPr codeName="Sheet6"/>
  <dimension ref="A1:D5"/>
  <sheetViews>
    <sheetView workbookViewId="0"/>
  </sheetViews>
  <sheetFormatPr defaultRowHeight="14.4" x14ac:dyDescent="0.3"/>
  <cols>
    <col min="1" max="1" width="13.21875" bestFit="1" customWidth="1"/>
    <col min="2" max="2" width="15.5546875" bestFit="1" customWidth="1"/>
    <col min="3" max="3" width="15.6640625" bestFit="1" customWidth="1"/>
    <col min="4" max="4" width="24" bestFit="1" customWidth="1"/>
  </cols>
  <sheetData>
    <row r="1" spans="1:4" x14ac:dyDescent="0.3">
      <c r="B1" s="86" t="s">
        <v>145</v>
      </c>
    </row>
    <row r="2" spans="1:4" x14ac:dyDescent="0.3">
      <c r="A2" s="86" t="s">
        <v>143</v>
      </c>
      <c r="B2" t="s">
        <v>150</v>
      </c>
      <c r="C2" t="s">
        <v>151</v>
      </c>
      <c r="D2" t="s">
        <v>152</v>
      </c>
    </row>
    <row r="3" spans="1:4" x14ac:dyDescent="0.3">
      <c r="A3" s="87" t="s">
        <v>47</v>
      </c>
      <c r="B3" s="88">
        <v>12.689523379266321</v>
      </c>
      <c r="C3" s="88">
        <v>22.283803698502279</v>
      </c>
      <c r="D3" s="88">
        <v>19.257570142667994</v>
      </c>
    </row>
    <row r="4" spans="1:4" x14ac:dyDescent="0.3">
      <c r="A4" s="87" t="s">
        <v>51</v>
      </c>
      <c r="B4" s="88">
        <v>6.5218496080413582</v>
      </c>
      <c r="C4" s="88">
        <v>13.692096224171932</v>
      </c>
      <c r="D4" s="88">
        <v>9.795247834804826</v>
      </c>
    </row>
    <row r="5" spans="1:4" x14ac:dyDescent="0.3">
      <c r="A5" s="87" t="s">
        <v>144</v>
      </c>
      <c r="B5" s="88">
        <v>19.21137298730768</v>
      </c>
      <c r="C5" s="88">
        <v>35.975899922674209</v>
      </c>
      <c r="D5" s="88">
        <v>29.05281797747282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B0159-E0C9-4C32-B5D2-708254A3B85F}">
  <sheetPr codeName="Sheet7"/>
  <dimension ref="A1:C11"/>
  <sheetViews>
    <sheetView topLeftCell="A7" workbookViewId="0"/>
  </sheetViews>
  <sheetFormatPr defaultRowHeight="14.4" x14ac:dyDescent="0.3"/>
  <cols>
    <col min="1" max="1" width="31.21875" bestFit="1" customWidth="1"/>
    <col min="2" max="2" width="17.6640625" bestFit="1" customWidth="1"/>
    <col min="3" max="3" width="21.44140625" bestFit="1" customWidth="1"/>
  </cols>
  <sheetData>
    <row r="1" spans="1:3" x14ac:dyDescent="0.3">
      <c r="B1" s="86" t="s">
        <v>145</v>
      </c>
    </row>
    <row r="2" spans="1:3" x14ac:dyDescent="0.3">
      <c r="A2" s="86" t="s">
        <v>143</v>
      </c>
      <c r="B2" t="s">
        <v>146</v>
      </c>
      <c r="C2" t="s">
        <v>147</v>
      </c>
    </row>
    <row r="3" spans="1:3" x14ac:dyDescent="0.3">
      <c r="A3" s="87" t="s">
        <v>69</v>
      </c>
      <c r="B3" s="88">
        <v>131.98762775685847</v>
      </c>
      <c r="C3" s="88">
        <v>193.48592000409971</v>
      </c>
    </row>
    <row r="4" spans="1:3" x14ac:dyDescent="0.3">
      <c r="A4" s="87" t="s">
        <v>66</v>
      </c>
      <c r="B4" s="88">
        <v>29.006410256410255</v>
      </c>
      <c r="C4" s="88">
        <v>40.031941098448968</v>
      </c>
    </row>
    <row r="5" spans="1:3" x14ac:dyDescent="0.3">
      <c r="A5" s="87" t="s">
        <v>48</v>
      </c>
      <c r="B5" s="88">
        <v>17.390153520381169</v>
      </c>
      <c r="C5" s="88">
        <v>15.274255111071094</v>
      </c>
    </row>
    <row r="6" spans="1:3" x14ac:dyDescent="0.3">
      <c r="A6" s="87" t="s">
        <v>63</v>
      </c>
      <c r="B6" s="88">
        <v>-9.5640872565127921</v>
      </c>
      <c r="C6" s="88">
        <v>20.575127779751611</v>
      </c>
    </row>
    <row r="7" spans="1:3" x14ac:dyDescent="0.3">
      <c r="A7" s="87" t="s">
        <v>60</v>
      </c>
      <c r="B7" s="88">
        <v>18.065848621066721</v>
      </c>
      <c r="C7" s="88">
        <v>314.67732442077278</v>
      </c>
    </row>
    <row r="8" spans="1:3" x14ac:dyDescent="0.3">
      <c r="A8" s="87" t="s">
        <v>54</v>
      </c>
      <c r="B8" s="88">
        <v>19.094766619519095</v>
      </c>
      <c r="C8" s="88">
        <v>60.049754360217712</v>
      </c>
    </row>
    <row r="9" spans="1:3" x14ac:dyDescent="0.3">
      <c r="A9" s="87" t="s">
        <v>57</v>
      </c>
      <c r="B9" s="88">
        <v>3.3620450125034687</v>
      </c>
      <c r="C9" s="88">
        <v>0.22127460080642672</v>
      </c>
    </row>
    <row r="10" spans="1:3" x14ac:dyDescent="0.3">
      <c r="A10" s="87" t="s">
        <v>52</v>
      </c>
      <c r="B10" s="88">
        <v>34.96797804208601</v>
      </c>
      <c r="C10" s="88">
        <v>116.5039572440615</v>
      </c>
    </row>
    <row r="11" spans="1:3" x14ac:dyDescent="0.3">
      <c r="A11" s="87" t="s">
        <v>144</v>
      </c>
      <c r="B11" s="88">
        <v>244.31074257231239</v>
      </c>
      <c r="C11" s="88">
        <v>760.81955461922962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200AD-0D07-42B0-96CF-444B3C03400E}">
  <sheetPr codeName="Sheet1"/>
  <dimension ref="A1:AV9"/>
  <sheetViews>
    <sheetView workbookViewId="0">
      <selection activeCell="J12" sqref="J12"/>
    </sheetView>
  </sheetViews>
  <sheetFormatPr defaultRowHeight="14.4" x14ac:dyDescent="0.3"/>
  <sheetData>
    <row r="1" spans="1:4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7</v>
      </c>
      <c r="AU1" s="1" t="s">
        <v>45</v>
      </c>
      <c r="AV1" s="1" t="s">
        <v>46</v>
      </c>
    </row>
    <row r="2" spans="1:48" x14ac:dyDescent="0.3">
      <c r="A2" s="2" t="s">
        <v>47</v>
      </c>
      <c r="B2" s="2" t="s">
        <v>48</v>
      </c>
      <c r="C2" s="3">
        <v>2248.9094719199998</v>
      </c>
      <c r="D2" s="3">
        <v>2057.0094719199997</v>
      </c>
      <c r="E2" s="3">
        <v>4.4511537316798195</v>
      </c>
      <c r="F2" s="3">
        <v>5.0064118574262233</v>
      </c>
      <c r="G2" s="3">
        <v>4.9227593935724414</v>
      </c>
      <c r="H2" s="3">
        <v>7.9922372941975848</v>
      </c>
      <c r="I2" s="3">
        <v>9.7586396050466266</v>
      </c>
      <c r="J2" s="3">
        <v>9.3582325092056813</v>
      </c>
      <c r="K2" s="3">
        <v>5.020482653688366</v>
      </c>
      <c r="L2" s="3">
        <v>8.4317032040472188</v>
      </c>
      <c r="M2" s="3">
        <v>17.79</v>
      </c>
      <c r="N2" s="3" t="s">
        <v>49</v>
      </c>
      <c r="O2" s="3" t="s">
        <v>49</v>
      </c>
      <c r="P2" s="3" t="s">
        <v>49</v>
      </c>
      <c r="Q2" s="3" t="s">
        <v>49</v>
      </c>
      <c r="R2" s="3">
        <v>-1.6375779374598927</v>
      </c>
      <c r="S2" s="3">
        <v>35.046500000000002</v>
      </c>
      <c r="T2" s="3">
        <v>9.1708542713567986</v>
      </c>
      <c r="U2" s="3">
        <v>17.390153520381169</v>
      </c>
      <c r="V2" s="3">
        <v>31.897295742232451</v>
      </c>
      <c r="W2" s="3">
        <v>24.532508630609897</v>
      </c>
      <c r="X2" s="3">
        <v>15.274255111071094</v>
      </c>
      <c r="Y2" s="3">
        <v>17.763416160266829</v>
      </c>
      <c r="Z2" s="3">
        <v>0.7264096662830839</v>
      </c>
      <c r="AA2" s="3">
        <v>19.257570142667994</v>
      </c>
      <c r="AB2" s="3">
        <v>12.689523379266321</v>
      </c>
      <c r="AC2" s="3">
        <v>22.283803698502279</v>
      </c>
      <c r="AD2" s="3">
        <v>0.96953829999999996</v>
      </c>
      <c r="AE2" s="3">
        <v>0.97969220000000001</v>
      </c>
      <c r="AF2" s="3">
        <v>0.2716963</v>
      </c>
      <c r="AG2" s="3">
        <v>0.37982139999999998</v>
      </c>
      <c r="AH2" s="3">
        <v>3.6734719999999998</v>
      </c>
      <c r="AI2" s="2" t="s">
        <v>50</v>
      </c>
      <c r="AJ2" s="3">
        <v>3.1406040000000002</v>
      </c>
      <c r="AK2" s="3">
        <v>6.6060400000000001</v>
      </c>
      <c r="AL2" s="3">
        <v>1.424803</v>
      </c>
      <c r="AM2" s="3">
        <v>-0.50334590000000001</v>
      </c>
      <c r="AN2" s="3">
        <v>2.226000070571899</v>
      </c>
      <c r="AO2" s="3">
        <v>126.41419999999999</v>
      </c>
      <c r="AP2" s="3">
        <v>443.5</v>
      </c>
      <c r="AQ2" s="3">
        <v>341.1</v>
      </c>
      <c r="AR2" s="3">
        <v>6.030517578125</v>
      </c>
      <c r="AS2" s="3">
        <v>4.638127326965332</v>
      </c>
      <c r="AT2" s="3">
        <v>7.9922372941975848</v>
      </c>
      <c r="AU2" s="3">
        <v>19.440000534057617</v>
      </c>
      <c r="AV2" s="3">
        <v>15.340000152587891</v>
      </c>
    </row>
    <row r="3" spans="1:48" x14ac:dyDescent="0.3">
      <c r="A3" s="2" t="s">
        <v>51</v>
      </c>
      <c r="B3" s="2" t="s">
        <v>52</v>
      </c>
      <c r="C3" s="3">
        <v>1793.3376102</v>
      </c>
      <c r="D3" s="3">
        <v>1657.3376102</v>
      </c>
      <c r="E3" s="3">
        <v>2.3054327079379067</v>
      </c>
      <c r="F3" s="3">
        <v>2.3318151392191346</v>
      </c>
      <c r="G3" s="3">
        <v>2.6058767455974841</v>
      </c>
      <c r="H3" s="3">
        <v>8.0243144794260832</v>
      </c>
      <c r="I3" s="3">
        <v>9.0063424947145858</v>
      </c>
      <c r="J3" s="3">
        <v>7.8165137614678892</v>
      </c>
      <c r="K3" s="3">
        <v>5.8726260058305</v>
      </c>
      <c r="L3" s="3">
        <v>5.2816900009280641</v>
      </c>
      <c r="M3" s="3">
        <v>8.52</v>
      </c>
      <c r="N3" s="3" t="s">
        <v>49</v>
      </c>
      <c r="O3" s="3" t="s">
        <v>49</v>
      </c>
      <c r="P3" s="3" t="s">
        <v>49</v>
      </c>
      <c r="Q3" s="3" t="s">
        <v>49</v>
      </c>
      <c r="R3" s="3">
        <v>-0.64042375148308806</v>
      </c>
      <c r="S3" s="3">
        <v>29.945699999999999</v>
      </c>
      <c r="T3" s="3">
        <v>16.592208291300409</v>
      </c>
      <c r="U3" s="3">
        <v>34.96797804208601</v>
      </c>
      <c r="V3" s="3">
        <v>30.390177578179717</v>
      </c>
      <c r="W3" s="3">
        <v>14.020847925507807</v>
      </c>
      <c r="X3" s="3">
        <v>116.5039572440615</v>
      </c>
      <c r="Y3" s="3">
        <v>9.5186329195522639</v>
      </c>
      <c r="Z3" s="3">
        <v>13.682996168266657</v>
      </c>
      <c r="AA3" s="3">
        <v>9.795247834804826</v>
      </c>
      <c r="AB3" s="3">
        <v>6.5218496080413582</v>
      </c>
      <c r="AC3" s="3">
        <v>13.692096224171932</v>
      </c>
      <c r="AD3" s="3">
        <v>1.0026710000000001</v>
      </c>
      <c r="AE3" s="3">
        <v>1.001781</v>
      </c>
      <c r="AF3" s="3">
        <v>0.28988770000000003</v>
      </c>
      <c r="AG3" s="3">
        <v>0.42150650000000001</v>
      </c>
      <c r="AH3" s="3">
        <v>3.485115</v>
      </c>
      <c r="AI3" s="2" t="s">
        <v>50</v>
      </c>
      <c r="AJ3" s="3">
        <v>9.8087459999999993</v>
      </c>
      <c r="AK3" s="3">
        <v>1.614682</v>
      </c>
      <c r="AL3" s="3">
        <v>-1.629138</v>
      </c>
      <c r="AM3" s="3">
        <v>-3.2917130000000001</v>
      </c>
      <c r="AN3" s="3">
        <v>1.070000052452087</v>
      </c>
      <c r="AO3" s="3">
        <v>210.48559999999998</v>
      </c>
      <c r="AP3" s="3">
        <v>737.6</v>
      </c>
      <c r="AQ3" s="3">
        <v>340.3</v>
      </c>
      <c r="AR3" s="3">
        <v>4.8702249526977539</v>
      </c>
      <c r="AS3" s="3">
        <v>2.246932744979858</v>
      </c>
      <c r="AT3" s="3">
        <v>8.0243144794260832</v>
      </c>
      <c r="AU3" s="3">
        <v>9.5</v>
      </c>
      <c r="AV3" s="3">
        <v>7.4699997901916504</v>
      </c>
    </row>
    <row r="4" spans="1:48" x14ac:dyDescent="0.3">
      <c r="A4" s="2" t="s">
        <v>53</v>
      </c>
      <c r="B4" s="2" t="s">
        <v>54</v>
      </c>
      <c r="C4" s="3">
        <v>2576.98</v>
      </c>
      <c r="D4" s="3">
        <v>5109.9799999999996</v>
      </c>
      <c r="E4" s="3">
        <v>6.7737965803087885</v>
      </c>
      <c r="F4" s="3">
        <v>6.1339364060753807</v>
      </c>
      <c r="G4" s="3">
        <v>5.8834609623353398</v>
      </c>
      <c r="H4" s="3">
        <v>5.4354585613219948</v>
      </c>
      <c r="I4" s="3">
        <v>6.8610421836228284</v>
      </c>
      <c r="J4" s="3">
        <v>6.4377182770663568</v>
      </c>
      <c r="K4" s="3">
        <v>1.8557655230898595</v>
      </c>
      <c r="L4" s="3">
        <v>4.4303798330627773</v>
      </c>
      <c r="M4" s="3">
        <v>11.06</v>
      </c>
      <c r="N4" s="3" t="s">
        <v>49</v>
      </c>
      <c r="O4" s="3" t="s">
        <v>49</v>
      </c>
      <c r="P4" s="3" t="s">
        <v>49</v>
      </c>
      <c r="Q4" s="3" t="s">
        <v>49</v>
      </c>
      <c r="R4" s="3">
        <v>9.6771943376199534</v>
      </c>
      <c r="S4" s="3" t="s">
        <v>49</v>
      </c>
      <c r="T4" s="3">
        <v>11.072664359861591</v>
      </c>
      <c r="U4" s="3">
        <v>19.094766619519095</v>
      </c>
      <c r="V4" s="3">
        <v>18.736092567868269</v>
      </c>
      <c r="W4" s="3">
        <v>13.150867823765019</v>
      </c>
      <c r="X4" s="3">
        <v>60.049754360217712</v>
      </c>
      <c r="Y4" s="3">
        <v>8.3493142371647089</v>
      </c>
      <c r="Z4" s="3">
        <v>4.8509123275478423</v>
      </c>
      <c r="AA4" s="3">
        <v>5.8056670679631397</v>
      </c>
      <c r="AB4" s="3">
        <v>5.490462127863359</v>
      </c>
      <c r="AC4" s="3">
        <v>24.293828541157783</v>
      </c>
      <c r="AD4" s="3">
        <v>1.2847580000000001</v>
      </c>
      <c r="AE4" s="3">
        <v>1.1898390000000001</v>
      </c>
      <c r="AF4" s="3">
        <v>4.8989770000000002E-2</v>
      </c>
      <c r="AG4" s="3">
        <v>0.47287430000000003</v>
      </c>
      <c r="AH4" s="3">
        <v>4.0512920000000001</v>
      </c>
      <c r="AI4" s="2" t="s">
        <v>55</v>
      </c>
      <c r="AJ4" s="3">
        <v>-36.893050000000002</v>
      </c>
      <c r="AK4" s="3">
        <v>-5.9004669999999999</v>
      </c>
      <c r="AL4" s="3">
        <v>-19.427330000000001</v>
      </c>
      <c r="AM4" s="3">
        <v>-4.5317189999999998</v>
      </c>
      <c r="AN4" s="3">
        <v>1.9900000095367432</v>
      </c>
      <c r="AO4" s="3">
        <v>233</v>
      </c>
      <c r="AP4" s="3">
        <v>1116</v>
      </c>
      <c r="AQ4" s="3">
        <v>888</v>
      </c>
      <c r="AR4" s="3">
        <v>10.45109748840332</v>
      </c>
      <c r="AS4" s="3">
        <v>8.3159275054931641</v>
      </c>
      <c r="AT4" s="3">
        <v>6.1815071180054462</v>
      </c>
      <c r="AU4" s="3">
        <v>53.450000762939453</v>
      </c>
      <c r="AV4" s="3">
        <v>43.119998931884766</v>
      </c>
    </row>
    <row r="5" spans="1:48" x14ac:dyDescent="0.3">
      <c r="A5" s="2" t="s">
        <v>56</v>
      </c>
      <c r="B5" s="2" t="s">
        <v>57</v>
      </c>
      <c r="C5" s="3">
        <v>8046.6259120000004</v>
      </c>
      <c r="D5" s="3">
        <v>9249.6259119999995</v>
      </c>
      <c r="E5" s="3">
        <v>9.0921302418279577</v>
      </c>
      <c r="F5" s="3">
        <v>6.7466272151714071</v>
      </c>
      <c r="G5" s="3">
        <v>6.2266078168966672</v>
      </c>
      <c r="H5" s="3">
        <v>6.1815071180054462</v>
      </c>
      <c r="I5" s="3">
        <v>11.828935395814376</v>
      </c>
      <c r="J5" s="3">
        <v>10.586319218241043</v>
      </c>
      <c r="K5" s="3">
        <v>11.248283245858254</v>
      </c>
      <c r="L5" s="3">
        <v>5.7692307692307692</v>
      </c>
      <c r="M5" s="3">
        <v>52</v>
      </c>
      <c r="N5" s="3" t="s">
        <v>49</v>
      </c>
      <c r="O5" s="3" t="s">
        <v>49</v>
      </c>
      <c r="P5" s="3" t="s">
        <v>49</v>
      </c>
      <c r="Q5" s="3" t="s">
        <v>49</v>
      </c>
      <c r="R5" s="3">
        <v>2.4446809616805694</v>
      </c>
      <c r="S5" s="3" t="s">
        <v>49</v>
      </c>
      <c r="T5" s="3">
        <v>10.304138274887817</v>
      </c>
      <c r="U5" s="3">
        <v>3.3620450125034687</v>
      </c>
      <c r="V5" s="3">
        <v>16.814825975591383</v>
      </c>
      <c r="W5" s="3">
        <v>13.379538948320025</v>
      </c>
      <c r="X5" s="3">
        <v>0.22127460080642672</v>
      </c>
      <c r="Y5" s="3">
        <v>7.1841193310230516</v>
      </c>
      <c r="Z5" s="3">
        <v>2.9380744312189244</v>
      </c>
      <c r="AA5" s="3">
        <v>11.085250439131805</v>
      </c>
      <c r="AB5" s="3">
        <v>4.8758564270375295</v>
      </c>
      <c r="AC5" s="3">
        <v>11.567442988840369</v>
      </c>
      <c r="AD5" s="3">
        <v>0.76788880000000004</v>
      </c>
      <c r="AE5" s="3">
        <v>0.84525919999999999</v>
      </c>
      <c r="AF5" s="3">
        <v>3.0495319999999999E-2</v>
      </c>
      <c r="AG5" s="3">
        <v>0.41185470000000002</v>
      </c>
      <c r="AH5" s="3">
        <v>3.0608170000000001</v>
      </c>
      <c r="AI5" s="2" t="s">
        <v>58</v>
      </c>
      <c r="AJ5" s="3">
        <v>10.848710000000001</v>
      </c>
      <c r="AK5" s="3">
        <v>5.1910930000000004</v>
      </c>
      <c r="AL5" s="3">
        <v>-2.6784189999999999</v>
      </c>
      <c r="AM5" s="3">
        <v>3.1745999999999999</v>
      </c>
      <c r="AN5" s="3">
        <v>8.4099998474121094</v>
      </c>
      <c r="AO5" s="3">
        <v>154.74279999999999</v>
      </c>
      <c r="AP5" s="3">
        <v>842</v>
      </c>
      <c r="AQ5" s="3">
        <v>591</v>
      </c>
      <c r="AR5" s="3">
        <v>8.6463289260864258</v>
      </c>
      <c r="AS5" s="3">
        <v>6.0688600540161133</v>
      </c>
      <c r="AT5" s="3">
        <v>5.4354585613219948</v>
      </c>
      <c r="AU5" s="3">
        <v>19</v>
      </c>
      <c r="AV5" s="3">
        <v>9.6899995803833008</v>
      </c>
    </row>
    <row r="6" spans="1:48" x14ac:dyDescent="0.3">
      <c r="A6" s="2" t="s">
        <v>59</v>
      </c>
      <c r="B6" s="2" t="s">
        <v>60</v>
      </c>
      <c r="C6" s="3">
        <v>1809.000801356</v>
      </c>
      <c r="D6" s="3">
        <v>3274.2008013559998</v>
      </c>
      <c r="E6" s="3">
        <v>5.1086484094241928</v>
      </c>
      <c r="F6" s="3">
        <v>4.543292257528095</v>
      </c>
      <c r="G6" s="3">
        <v>5.5778548575059625</v>
      </c>
      <c r="H6" s="3">
        <v>4.9731237849190331</v>
      </c>
      <c r="I6" s="3">
        <v>5.2472826086956523</v>
      </c>
      <c r="J6" s="3">
        <v>6.31045751633987</v>
      </c>
      <c r="K6" s="3" t="s">
        <v>49</v>
      </c>
      <c r="L6" s="3">
        <v>17.338492659198874</v>
      </c>
      <c r="M6" s="3">
        <v>0.96550000000000002</v>
      </c>
      <c r="N6" s="3" t="s">
        <v>49</v>
      </c>
      <c r="O6" s="3" t="s">
        <v>49</v>
      </c>
      <c r="P6" s="3" t="s">
        <v>49</v>
      </c>
      <c r="Q6" s="3" t="s">
        <v>49</v>
      </c>
      <c r="R6" s="3">
        <v>0.53033864435561495</v>
      </c>
      <c r="S6" s="3">
        <v>30.2807</v>
      </c>
      <c r="T6" s="3">
        <v>11.453982985305483</v>
      </c>
      <c r="U6" s="3">
        <v>18.065848621066721</v>
      </c>
      <c r="V6" s="3">
        <v>33.717299285268204</v>
      </c>
      <c r="W6" s="3">
        <v>15.873291235861494</v>
      </c>
      <c r="X6" s="3">
        <v>314.67732442077278</v>
      </c>
      <c r="Y6" s="3">
        <v>13.981972104642287</v>
      </c>
      <c r="Z6" s="3">
        <v>2.3197948168280824</v>
      </c>
      <c r="AA6" s="3">
        <v>9.2093429535279654</v>
      </c>
      <c r="AB6" s="3">
        <v>9.6542666858320132</v>
      </c>
      <c r="AC6" s="3">
        <v>15.766369327073551</v>
      </c>
      <c r="AD6" s="3">
        <v>0.91897119999999999</v>
      </c>
      <c r="AE6" s="3">
        <v>0.94598079999999996</v>
      </c>
      <c r="AF6" s="3">
        <v>-0.17967549999999999</v>
      </c>
      <c r="AG6" s="3">
        <v>0.25287539999999997</v>
      </c>
      <c r="AH6" s="3">
        <v>4.7304529999999998</v>
      </c>
      <c r="AI6" s="2" t="s">
        <v>61</v>
      </c>
      <c r="AJ6" s="3">
        <v>-22.20025</v>
      </c>
      <c r="AK6" s="3">
        <v>-11.603260000000001</v>
      </c>
      <c r="AL6" s="3">
        <v>-11.936360000000001</v>
      </c>
      <c r="AM6" s="3">
        <v>-8.0476150000000004</v>
      </c>
      <c r="AN6" s="3">
        <v>6.6961271703142006E-2</v>
      </c>
      <c r="AO6" s="3">
        <v>1181.2279999999998</v>
      </c>
      <c r="AP6" s="3">
        <v>971.8</v>
      </c>
      <c r="AQ6" s="3">
        <v>457.5</v>
      </c>
      <c r="AR6" s="3">
        <v>7.1567230224609384</v>
      </c>
      <c r="AS6" s="3">
        <v>3.3692126274108891</v>
      </c>
      <c r="AT6" s="3">
        <v>4.9731237849190331</v>
      </c>
      <c r="AU6" s="3">
        <v>1.8135344824957571</v>
      </c>
      <c r="AV6" s="3">
        <v>0.88249999284744307</v>
      </c>
    </row>
    <row r="7" spans="1:48" x14ac:dyDescent="0.3">
      <c r="A7" s="2" t="s">
        <v>62</v>
      </c>
      <c r="B7" s="2" t="s">
        <v>63</v>
      </c>
      <c r="C7" s="3">
        <v>1361.6463941119998</v>
      </c>
      <c r="D7" s="3">
        <v>1132.7183941119997</v>
      </c>
      <c r="E7" s="3">
        <v>3.0908903359076518</v>
      </c>
      <c r="F7" s="3">
        <v>4.4062472784250248</v>
      </c>
      <c r="G7" s="3">
        <v>4.3976938168970872</v>
      </c>
      <c r="H7" s="3">
        <v>7.4155054492214658</v>
      </c>
      <c r="I7" s="3">
        <v>6.7831513260530416</v>
      </c>
      <c r="J7" s="3">
        <v>6.587878787878787</v>
      </c>
      <c r="K7" s="3">
        <v>3.9489745019429554</v>
      </c>
      <c r="L7" s="3" t="s">
        <v>49</v>
      </c>
      <c r="M7" s="3">
        <v>4.3479999999999999</v>
      </c>
      <c r="N7" s="3" t="s">
        <v>49</v>
      </c>
      <c r="O7" s="3" t="s">
        <v>49</v>
      </c>
      <c r="P7" s="3" t="s">
        <v>49</v>
      </c>
      <c r="Q7" s="3" t="s">
        <v>49</v>
      </c>
      <c r="R7" s="3">
        <v>-0.73844189236496782</v>
      </c>
      <c r="S7" s="3">
        <v>33.7819</v>
      </c>
      <c r="T7" s="3">
        <v>5.0394268638679929</v>
      </c>
      <c r="U7" s="3">
        <v>-9.5640872565127921</v>
      </c>
      <c r="V7" s="3">
        <v>39.704727719758083</v>
      </c>
      <c r="W7" s="3">
        <v>26.127421702396624</v>
      </c>
      <c r="X7" s="3">
        <v>20.575127779751611</v>
      </c>
      <c r="Y7" s="3">
        <v>24.99243263303779</v>
      </c>
      <c r="Z7" s="3">
        <v>0.59289678699368764</v>
      </c>
      <c r="AA7" s="3">
        <v>15.3231830625706</v>
      </c>
      <c r="AB7" s="3">
        <v>12.554748990661063</v>
      </c>
      <c r="AC7" s="3">
        <v>18.088042797194699</v>
      </c>
      <c r="AD7" s="3">
        <v>0.98720929999999996</v>
      </c>
      <c r="AE7" s="3">
        <v>0.99147280000000004</v>
      </c>
      <c r="AF7" s="3">
        <v>0.14797360000000001</v>
      </c>
      <c r="AG7" s="3">
        <v>0.29302519999999999</v>
      </c>
      <c r="AH7" s="3">
        <v>4.9254759999999997</v>
      </c>
      <c r="AI7" s="2" t="s">
        <v>64</v>
      </c>
      <c r="AJ7" s="3">
        <v>-8.6938270000000006</v>
      </c>
      <c r="AK7" s="3">
        <v>-12.04824</v>
      </c>
      <c r="AL7" s="3">
        <v>-15.94233</v>
      </c>
      <c r="AM7" s="3">
        <v>-4.8993869999999999</v>
      </c>
      <c r="AN7" s="3">
        <v>0.60000002384185802</v>
      </c>
      <c r="AO7" s="3">
        <v>313.16609999999997</v>
      </c>
      <c r="AP7" s="3">
        <v>342.35599999999999</v>
      </c>
      <c r="AQ7" s="3">
        <v>225.285</v>
      </c>
      <c r="AR7" s="3">
        <v>5.0279350280761719</v>
      </c>
      <c r="AS7" s="3">
        <v>3.3085978031158452</v>
      </c>
      <c r="AT7" s="3">
        <v>7.4155054492214658</v>
      </c>
      <c r="AU7" s="3">
        <v>5.8949999809265137</v>
      </c>
      <c r="AV7" s="3">
        <v>3.747999906539917</v>
      </c>
    </row>
    <row r="8" spans="1:48" x14ac:dyDescent="0.3">
      <c r="A8" s="2" t="s">
        <v>65</v>
      </c>
      <c r="B8" s="2" t="s">
        <v>66</v>
      </c>
      <c r="C8" s="3">
        <v>3747.9301956634358</v>
      </c>
      <c r="D8" s="3">
        <v>3966.9807353416136</v>
      </c>
      <c r="E8" s="3">
        <v>0.78325031055900618</v>
      </c>
      <c r="F8" s="3">
        <v>4.0952919560809784</v>
      </c>
      <c r="G8" s="3">
        <v>4.3913020062965646</v>
      </c>
      <c r="H8" s="3">
        <v>8.2012071431076006</v>
      </c>
      <c r="I8" s="3">
        <v>5.5811594202898549</v>
      </c>
      <c r="J8" s="3">
        <v>6.4722689075630244</v>
      </c>
      <c r="K8" s="3">
        <v>20.702354802381276</v>
      </c>
      <c r="L8" s="3">
        <v>4.2846013403223635</v>
      </c>
      <c r="M8" s="3">
        <v>0.93106820000000001</v>
      </c>
      <c r="N8" s="3">
        <v>45.928600000000003</v>
      </c>
      <c r="O8" s="3">
        <v>62.905299999999997</v>
      </c>
      <c r="P8" s="3">
        <v>87.109399999999994</v>
      </c>
      <c r="Q8" s="3">
        <v>142.3229</v>
      </c>
      <c r="R8" s="3">
        <v>0.43361007968080595</v>
      </c>
      <c r="S8" s="3">
        <v>41.805399999999999</v>
      </c>
      <c r="T8" s="3">
        <v>24.163969795037755</v>
      </c>
      <c r="U8" s="3">
        <v>29.006410256410255</v>
      </c>
      <c r="V8" s="3">
        <v>23.31306110628439</v>
      </c>
      <c r="W8" s="3">
        <v>19.606139588763394</v>
      </c>
      <c r="X8" s="3">
        <v>40.031941098448968</v>
      </c>
      <c r="Y8" s="3">
        <v>14.981754995655953</v>
      </c>
      <c r="Z8" s="3">
        <v>0.63712713582392122</v>
      </c>
      <c r="AA8" s="3">
        <v>22.879433473848103</v>
      </c>
      <c r="AB8" s="3">
        <v>12.628341266935189</v>
      </c>
      <c r="AC8" s="3">
        <v>39.763259031514224</v>
      </c>
      <c r="AD8" s="3">
        <v>1.7855920000000001</v>
      </c>
      <c r="AE8" s="3">
        <v>1.523728</v>
      </c>
      <c r="AF8" s="3">
        <v>-0.23706089999999999</v>
      </c>
      <c r="AG8" s="3">
        <v>0.45092310000000002</v>
      </c>
      <c r="AH8" s="3">
        <v>4.531066</v>
      </c>
      <c r="AI8" s="2" t="s">
        <v>67</v>
      </c>
      <c r="AJ8" s="3">
        <v>-34.055840000000003</v>
      </c>
      <c r="AK8" s="3">
        <v>-14.78187</v>
      </c>
      <c r="AL8" s="3">
        <v>-15.134790000000001</v>
      </c>
      <c r="AM8" s="3">
        <v>-1.953133</v>
      </c>
      <c r="AN8" s="3">
        <v>0.10936444228263101</v>
      </c>
      <c r="AO8" s="3">
        <v>4025.4089999999997</v>
      </c>
      <c r="AP8" s="3">
        <v>937.61529443531208</v>
      </c>
      <c r="AQ8" s="3">
        <v>788.57948560205023</v>
      </c>
      <c r="AR8" s="3">
        <v>4.8528361320495614</v>
      </c>
      <c r="AS8" s="3">
        <v>4.0812053680419922</v>
      </c>
      <c r="AT8" s="3">
        <v>8.2012071431076006</v>
      </c>
      <c r="AU8" s="3">
        <v>1.5618368994110641</v>
      </c>
      <c r="AV8" s="3">
        <v>0.83555094609163105</v>
      </c>
    </row>
    <row r="9" spans="1:48" x14ac:dyDescent="0.3">
      <c r="A9" s="2" t="s">
        <v>68</v>
      </c>
      <c r="B9" s="2" t="s">
        <v>69</v>
      </c>
      <c r="C9" s="3">
        <v>853.72144960000003</v>
      </c>
      <c r="D9" s="3">
        <v>856.4054496</v>
      </c>
      <c r="E9" s="3">
        <v>4.3808831043557905</v>
      </c>
      <c r="F9" s="3">
        <v>4.7698652126207914</v>
      </c>
      <c r="G9" s="3">
        <v>4.6142535000000002</v>
      </c>
      <c r="H9" s="3">
        <v>7.1787319437429122</v>
      </c>
      <c r="I9" s="3">
        <v>7.0559701492537306</v>
      </c>
      <c r="J9" s="3">
        <v>6.7656529516994626</v>
      </c>
      <c r="K9" s="3" t="s">
        <v>49</v>
      </c>
      <c r="L9" s="3">
        <v>4.7593867570744939</v>
      </c>
      <c r="M9" s="3">
        <v>3.782</v>
      </c>
      <c r="N9" s="3" t="s">
        <v>49</v>
      </c>
      <c r="O9" s="3" t="s">
        <v>49</v>
      </c>
      <c r="P9" s="3" t="s">
        <v>49</v>
      </c>
      <c r="Q9" s="3" t="s">
        <v>49</v>
      </c>
      <c r="R9" s="3">
        <v>2.3789187924837581E-3</v>
      </c>
      <c r="S9" s="3">
        <v>25.984400000000001</v>
      </c>
      <c r="T9" s="3">
        <v>9.8551399296222488</v>
      </c>
      <c r="U9" s="3">
        <v>131.98762775685847</v>
      </c>
      <c r="V9" s="3">
        <v>19.650517730415658</v>
      </c>
      <c r="W9" s="3">
        <v>17.591442924350982</v>
      </c>
      <c r="X9" s="3">
        <v>193.48592000409971</v>
      </c>
      <c r="Y9" s="3">
        <v>13.047347557155383</v>
      </c>
      <c r="Z9" s="3">
        <v>2.0028022372333036</v>
      </c>
      <c r="AA9" s="3">
        <v>18.149828042519939</v>
      </c>
      <c r="AB9" s="3">
        <v>8.3810660768002023</v>
      </c>
      <c r="AC9" s="3">
        <v>22.581848758714234</v>
      </c>
      <c r="AD9" s="3">
        <v>1.043401</v>
      </c>
      <c r="AE9" s="3">
        <v>1.028934</v>
      </c>
      <c r="AF9" s="3">
        <v>0.27650239999999998</v>
      </c>
      <c r="AG9" s="3">
        <v>0.36239690000000002</v>
      </c>
      <c r="AH9" s="3">
        <v>4.4583729999999999</v>
      </c>
      <c r="AI9" s="2" t="s">
        <v>64</v>
      </c>
      <c r="AJ9" s="3">
        <v>9.2511700000000001</v>
      </c>
      <c r="AK9" s="3">
        <v>1.166676</v>
      </c>
      <c r="AL9" s="3">
        <v>-14.95612</v>
      </c>
      <c r="AM9" s="3">
        <v>-1.664064</v>
      </c>
      <c r="AN9" s="3">
        <v>0.52600002288818404</v>
      </c>
      <c r="AO9" s="3">
        <v>225.7328</v>
      </c>
      <c r="AP9" s="3">
        <v>172.506</v>
      </c>
      <c r="AQ9" s="3">
        <v>154.43</v>
      </c>
      <c r="AR9" s="3">
        <v>5.5455899238586426</v>
      </c>
      <c r="AS9" s="3">
        <v>4.9644966125488281</v>
      </c>
      <c r="AT9" s="3">
        <v>7.1787319437429122</v>
      </c>
      <c r="AU9" s="3">
        <v>4.25</v>
      </c>
      <c r="AV9" s="3">
        <v>3.1500000953674321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Peer_Analysis">
                <anchor moveWithCells="1" sizeWithCells="1">
                  <from>
                    <xdr:col>0</xdr:col>
                    <xdr:colOff>342900</xdr:colOff>
                    <xdr:row>10</xdr:row>
                    <xdr:rowOff>60960</xdr:rowOff>
                  </from>
                  <to>
                    <xdr:col>5</xdr:col>
                    <xdr:colOff>411480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4" name="Button 5">
              <controlPr defaultSize="0" print="0" autoFill="0" autoPict="0" macro="[0]!Excel2Word_memo">
                <anchor moveWithCells="1" sizeWithCells="1">
                  <from>
                    <xdr:col>0</xdr:col>
                    <xdr:colOff>350520</xdr:colOff>
                    <xdr:row>16</xdr:row>
                    <xdr:rowOff>7620</xdr:rowOff>
                  </from>
                  <to>
                    <xdr:col>5</xdr:col>
                    <xdr:colOff>411480</xdr:colOff>
                    <xdr:row>19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E52FB-D8B8-4270-8D52-6F6433BEBA5F}">
  <sheetPr codeName="Sheet100"/>
  <dimension ref="A1:R72"/>
  <sheetViews>
    <sheetView showGridLines="0" tabSelected="1" topLeftCell="A16" zoomScale="85" zoomScaleNormal="85" workbookViewId="0">
      <selection activeCell="F40" sqref="F40"/>
    </sheetView>
  </sheetViews>
  <sheetFormatPr defaultRowHeight="14.4" x14ac:dyDescent="0.3"/>
  <cols>
    <col min="1" max="1" width="29.5546875" customWidth="1"/>
    <col min="2" max="2" width="11.33203125" customWidth="1"/>
    <col min="3" max="3" width="9.33203125" customWidth="1"/>
    <col min="4" max="4" width="15.77734375" customWidth="1"/>
    <col min="5" max="5" width="12.21875" customWidth="1"/>
    <col min="6" max="6" width="12.88671875" customWidth="1"/>
    <col min="7" max="7" width="6.6640625" customWidth="1"/>
    <col min="8" max="8" width="9.5546875" customWidth="1"/>
    <col min="9" max="9" width="7.44140625" customWidth="1"/>
    <col min="10" max="10" width="13.44140625" customWidth="1"/>
    <col min="11" max="11" width="6" customWidth="1"/>
    <col min="12" max="12" width="11" bestFit="1" customWidth="1"/>
    <col min="13" max="13" width="7.21875" customWidth="1"/>
    <col min="14" max="14" width="10.88671875" customWidth="1"/>
    <col min="15" max="15" width="5.109375" customWidth="1"/>
    <col min="16" max="16" width="10.88671875" customWidth="1"/>
  </cols>
  <sheetData>
    <row r="1" spans="1:18" x14ac:dyDescent="0.3">
      <c r="A1" s="66" t="s">
        <v>114</v>
      </c>
      <c r="B1" s="78" t="s">
        <v>70</v>
      </c>
      <c r="C1" s="78"/>
      <c r="D1" s="78"/>
      <c r="E1" s="78"/>
      <c r="F1" s="78"/>
      <c r="G1" s="79"/>
      <c r="I1" s="40">
        <v>1</v>
      </c>
      <c r="J1" s="67">
        <v>1</v>
      </c>
    </row>
    <row r="2" spans="1:18" ht="23.4" x14ac:dyDescent="0.45">
      <c r="A2" s="4" t="s">
        <v>1</v>
      </c>
      <c r="B2" s="5" t="s">
        <v>0</v>
      </c>
      <c r="C2" s="5" t="s">
        <v>71</v>
      </c>
      <c r="D2" s="5" t="s">
        <v>72</v>
      </c>
      <c r="E2" s="5" t="s">
        <v>73</v>
      </c>
      <c r="F2" s="5" t="s">
        <v>74</v>
      </c>
      <c r="G2" s="6" t="s">
        <v>7</v>
      </c>
      <c r="I2" s="40">
        <v>0.95</v>
      </c>
      <c r="J2" s="67">
        <v>1.05</v>
      </c>
      <c r="L2" s="65"/>
    </row>
    <row r="3" spans="1:18" x14ac:dyDescent="0.3">
      <c r="A3" s="7" t="s">
        <v>75</v>
      </c>
      <c r="B3" s="8" t="s">
        <v>76</v>
      </c>
      <c r="C3" s="8"/>
      <c r="D3" s="8">
        <v>2248909471.9200001</v>
      </c>
      <c r="E3" s="9">
        <v>4.638127326965332</v>
      </c>
      <c r="F3" s="9">
        <v>6.030517578125</v>
      </c>
      <c r="G3" s="10">
        <v>7.9922372941975848</v>
      </c>
      <c r="I3" s="40">
        <v>0.9</v>
      </c>
      <c r="J3" s="68">
        <v>1.1000000000000001</v>
      </c>
    </row>
    <row r="4" spans="1:18" x14ac:dyDescent="0.3">
      <c r="A4" s="11" t="s">
        <v>77</v>
      </c>
      <c r="B4" t="s">
        <v>78</v>
      </c>
      <c r="C4">
        <v>0.66200000000000003</v>
      </c>
      <c r="D4">
        <v>1793337610.2</v>
      </c>
      <c r="E4" s="3">
        <v>2.246932744979858</v>
      </c>
      <c r="F4" s="3">
        <v>4.8702249526977539</v>
      </c>
      <c r="G4" s="12">
        <v>8.0243144794260832</v>
      </c>
      <c r="I4" s="40">
        <v>0.85</v>
      </c>
      <c r="J4" s="67">
        <v>1.1499999999999999</v>
      </c>
    </row>
    <row r="5" spans="1:18" x14ac:dyDescent="0.3">
      <c r="A5" s="11" t="s">
        <v>79</v>
      </c>
      <c r="B5" t="s">
        <v>80</v>
      </c>
      <c r="C5">
        <v>0.59550000000000003</v>
      </c>
      <c r="D5">
        <v>8046625912</v>
      </c>
      <c r="E5" s="3">
        <v>8.3159275054931641</v>
      </c>
      <c r="F5" s="3">
        <v>10.45109748840332</v>
      </c>
      <c r="G5" s="12">
        <v>6.1815071180054462</v>
      </c>
      <c r="I5" s="40">
        <v>0.8</v>
      </c>
      <c r="J5" s="67">
        <v>1.2</v>
      </c>
    </row>
    <row r="6" spans="1:18" x14ac:dyDescent="0.3">
      <c r="A6" s="11" t="s">
        <v>81</v>
      </c>
      <c r="B6" t="s">
        <v>82</v>
      </c>
      <c r="C6">
        <v>0.57130000000000003</v>
      </c>
      <c r="D6">
        <v>2576980000</v>
      </c>
      <c r="E6" s="3">
        <v>6.0688600540161133</v>
      </c>
      <c r="F6" s="3">
        <v>8.6463289260864258</v>
      </c>
      <c r="G6" s="12">
        <v>5.4354585613219948</v>
      </c>
      <c r="I6" s="40"/>
      <c r="J6" s="68"/>
    </row>
    <row r="7" spans="1:18" x14ac:dyDescent="0.3">
      <c r="A7" s="11" t="s">
        <v>66</v>
      </c>
      <c r="B7" t="s">
        <v>83</v>
      </c>
      <c r="C7">
        <v>0.51390000000000002</v>
      </c>
      <c r="D7">
        <v>3747930195.6634002</v>
      </c>
      <c r="E7" s="3">
        <v>3.3692126274108891</v>
      </c>
      <c r="F7" s="3">
        <v>7.1567230224609384</v>
      </c>
      <c r="G7" s="12">
        <v>4.9731237849190331</v>
      </c>
      <c r="I7" s="40"/>
      <c r="J7" s="89" t="s">
        <v>154</v>
      </c>
      <c r="L7" t="s">
        <v>155</v>
      </c>
    </row>
    <row r="8" spans="1:18" x14ac:dyDescent="0.3">
      <c r="A8" s="11" t="s">
        <v>84</v>
      </c>
      <c r="B8" t="s">
        <v>85</v>
      </c>
      <c r="C8">
        <v>0.49419999999999997</v>
      </c>
      <c r="D8">
        <v>853721449.60000002</v>
      </c>
      <c r="E8" s="3">
        <v>3.3085978031158452</v>
      </c>
      <c r="F8" s="3">
        <v>5.0279350280761719</v>
      </c>
      <c r="G8" s="12">
        <v>7.4155054492214658</v>
      </c>
      <c r="I8" s="40"/>
      <c r="J8" s="67"/>
    </row>
    <row r="9" spans="1:18" x14ac:dyDescent="0.3">
      <c r="A9" s="11" t="s">
        <v>86</v>
      </c>
      <c r="B9" t="s">
        <v>87</v>
      </c>
      <c r="C9">
        <v>0.49309999999999998</v>
      </c>
      <c r="D9">
        <v>1809000801.3559999</v>
      </c>
      <c r="E9" s="3">
        <v>4.0812053680419922</v>
      </c>
      <c r="F9" s="3">
        <v>4.8528361320495614</v>
      </c>
      <c r="G9" s="12">
        <v>8.2012071431076006</v>
      </c>
      <c r="I9" s="40"/>
      <c r="J9" s="68"/>
    </row>
    <row r="10" spans="1:18" x14ac:dyDescent="0.3">
      <c r="A10" s="13" t="s">
        <v>88</v>
      </c>
      <c r="B10" s="14" t="s">
        <v>89</v>
      </c>
      <c r="C10" s="14">
        <v>0.44579999999999997</v>
      </c>
      <c r="D10" s="14">
        <v>1361646394.112</v>
      </c>
      <c r="E10" s="15">
        <v>4.9644966125488281</v>
      </c>
      <c r="F10" s="15">
        <v>5.5455899238586426</v>
      </c>
      <c r="G10" s="16">
        <v>7.1787319437429122</v>
      </c>
      <c r="I10" s="40"/>
      <c r="J10" s="67" t="s">
        <v>153</v>
      </c>
    </row>
    <row r="11" spans="1:18" x14ac:dyDescent="0.3">
      <c r="A11" s="11" t="s">
        <v>90</v>
      </c>
      <c r="B11" s="30"/>
      <c r="C11" s="30"/>
      <c r="D11" s="30"/>
      <c r="E11" s="17">
        <f>E3/E12-1</f>
        <v>3.0183409407023021E-3</v>
      </c>
      <c r="F11" s="17">
        <f>F3/F12-1</f>
        <v>-8.2484006657061237E-2</v>
      </c>
      <c r="G11" s="18">
        <f>G3/G12-1</f>
        <v>0.15407023869944814</v>
      </c>
      <c r="I11" s="40"/>
      <c r="J11" s="67"/>
    </row>
    <row r="12" spans="1:18" x14ac:dyDescent="0.3">
      <c r="A12" s="13" t="s">
        <v>91</v>
      </c>
      <c r="B12" s="14"/>
      <c r="C12" s="14"/>
      <c r="D12" s="14">
        <v>2804768979.3564</v>
      </c>
      <c r="E12" s="19">
        <f>AVERAGE(E3:E10)</f>
        <v>4.6241700053215027</v>
      </c>
      <c r="F12" s="19">
        <f>AVERAGE(F3:F10)</f>
        <v>6.5726566314697266</v>
      </c>
      <c r="G12" s="20">
        <f>AVERAGE(G3:G10)</f>
        <v>6.9252607217427649</v>
      </c>
      <c r="I12" s="40"/>
      <c r="J12" s="67"/>
    </row>
    <row r="13" spans="1:18" x14ac:dyDescent="0.3">
      <c r="E13" s="69"/>
      <c r="F13" s="69"/>
      <c r="G13" s="69"/>
      <c r="J13" s="30"/>
      <c r="R13" t="s">
        <v>129</v>
      </c>
    </row>
    <row r="15" spans="1:18" x14ac:dyDescent="0.3">
      <c r="A15" s="21" t="s">
        <v>1</v>
      </c>
      <c r="B15" s="22" t="s">
        <v>92</v>
      </c>
      <c r="C15" s="22" t="s">
        <v>74</v>
      </c>
      <c r="D15" s="23" t="s">
        <v>7</v>
      </c>
      <c r="R15" t="s">
        <v>119</v>
      </c>
    </row>
    <row r="16" spans="1:18" x14ac:dyDescent="0.3">
      <c r="A16" s="11" t="s">
        <v>93</v>
      </c>
      <c r="B16" s="24">
        <f>E12</f>
        <v>4.6241700053215027</v>
      </c>
      <c r="C16" s="24">
        <f>F12</f>
        <v>6.5726566314697266</v>
      </c>
      <c r="D16" s="25">
        <f>G12</f>
        <v>6.9252607217427649</v>
      </c>
      <c r="R16" t="s">
        <v>120</v>
      </c>
    </row>
    <row r="17" spans="1:18" x14ac:dyDescent="0.3">
      <c r="A17" s="11" t="s">
        <v>94</v>
      </c>
      <c r="B17" s="24">
        <f>B16-H22</f>
        <v>3.1241700053215027</v>
      </c>
      <c r="C17" s="24">
        <f>C16-L22</f>
        <v>5.0726566314697266</v>
      </c>
      <c r="D17" s="25">
        <f>D16-P22</f>
        <v>5.6752607217427649</v>
      </c>
      <c r="F17">
        <v>125</v>
      </c>
      <c r="H17" s="32">
        <f>F17/100</f>
        <v>1.25</v>
      </c>
      <c r="J17">
        <v>200</v>
      </c>
      <c r="L17" s="32">
        <f>J17/100</f>
        <v>2</v>
      </c>
      <c r="N17">
        <v>375</v>
      </c>
      <c r="P17" s="32">
        <f>N17/100</f>
        <v>3.75</v>
      </c>
      <c r="R17" t="s">
        <v>142</v>
      </c>
    </row>
    <row r="18" spans="1:18" x14ac:dyDescent="0.3">
      <c r="A18" s="13" t="s">
        <v>95</v>
      </c>
      <c r="B18" s="26">
        <f>B16+H17</f>
        <v>5.8741700053215027</v>
      </c>
      <c r="C18" s="26">
        <f>C16+L17</f>
        <v>8.5726566314697266</v>
      </c>
      <c r="D18" s="27">
        <f>D16+P17</f>
        <v>10.675260721742765</v>
      </c>
    </row>
    <row r="19" spans="1:18" x14ac:dyDescent="0.3">
      <c r="R19" t="s">
        <v>121</v>
      </c>
    </row>
    <row r="20" spans="1:18" x14ac:dyDescent="0.3">
      <c r="R20" t="s">
        <v>141</v>
      </c>
    </row>
    <row r="22" spans="1:18" x14ac:dyDescent="0.3">
      <c r="A22" s="21" t="s">
        <v>1</v>
      </c>
      <c r="B22" s="22"/>
      <c r="C22" s="23" t="s">
        <v>12</v>
      </c>
      <c r="F22">
        <v>150</v>
      </c>
      <c r="H22" s="32">
        <f>F22/100</f>
        <v>1.5</v>
      </c>
      <c r="J22">
        <v>150</v>
      </c>
      <c r="L22" s="32">
        <f>J22/100</f>
        <v>1.5</v>
      </c>
      <c r="N22">
        <v>125</v>
      </c>
      <c r="P22" s="32">
        <f>N22/100</f>
        <v>1.25</v>
      </c>
    </row>
    <row r="23" spans="1:18" x14ac:dyDescent="0.3">
      <c r="A23" s="13" t="s">
        <v>75</v>
      </c>
      <c r="B23" s="14" t="s">
        <v>76</v>
      </c>
      <c r="C23" s="16">
        <v>17.79</v>
      </c>
    </row>
    <row r="25" spans="1:18" x14ac:dyDescent="0.3">
      <c r="A25" s="21" t="s">
        <v>92</v>
      </c>
      <c r="B25" s="22"/>
      <c r="C25" s="22" t="s">
        <v>96</v>
      </c>
      <c r="D25" s="22"/>
      <c r="E25" s="23" t="s">
        <v>97</v>
      </c>
      <c r="F25" s="28"/>
    </row>
    <row r="26" spans="1:18" x14ac:dyDescent="0.3">
      <c r="A26" s="11" t="s">
        <v>98</v>
      </c>
      <c r="B26" s="30"/>
      <c r="C26" s="31">
        <v>12.478577543979132</v>
      </c>
      <c r="D26" s="30"/>
      <c r="E26" s="25">
        <f>((C26*Analysis!$AO$2+(Analysis!$D$2-Analysis!$C$2))/Analysis!$AP$2)</f>
        <v>3.1241700053215031</v>
      </c>
      <c r="F26" s="24"/>
    </row>
    <row r="27" spans="1:18" x14ac:dyDescent="0.3">
      <c r="A27" s="11" t="s">
        <v>93</v>
      </c>
      <c r="B27" s="30"/>
      <c r="C27" s="31">
        <v>17.74104014707277</v>
      </c>
      <c r="D27" s="30"/>
      <c r="E27" s="25">
        <f>((C27*Analysis!$AO$2+(Analysis!$D$2-Analysis!$C$2))/Analysis!$AP$2)</f>
        <v>4.6241700053215027</v>
      </c>
      <c r="F27" s="24"/>
      <c r="G27" s="24"/>
    </row>
    <row r="28" spans="1:18" x14ac:dyDescent="0.3">
      <c r="A28" s="13" t="s">
        <v>99</v>
      </c>
      <c r="B28" s="14"/>
      <c r="C28" s="26">
        <v>22.126425649650795</v>
      </c>
      <c r="D28" s="14"/>
      <c r="E28" s="27">
        <f>((C28*Analysis!$AO$2+(Analysis!$D$2-Analysis!$C$2))/Analysis!$AP$2)</f>
        <v>5.8741700053215</v>
      </c>
      <c r="F28" s="24"/>
    </row>
    <row r="30" spans="1:18" x14ac:dyDescent="0.3">
      <c r="A30" s="21" t="s">
        <v>74</v>
      </c>
      <c r="B30" s="22"/>
      <c r="C30" s="22" t="s">
        <v>96</v>
      </c>
      <c r="D30" s="22"/>
      <c r="E30" s="23" t="s">
        <v>97</v>
      </c>
    </row>
    <row r="31" spans="1:18" x14ac:dyDescent="0.3">
      <c r="A31" s="11" t="s">
        <v>98</v>
      </c>
      <c r="B31" s="30"/>
      <c r="C31" s="31">
        <v>15.205437181853961</v>
      </c>
      <c r="D31" s="30"/>
      <c r="E31" s="25">
        <f>((C31*Analysis!$AO$2+(Analysis!$D$2-Analysis!$C$2))/Analysis!$AQ$2)</f>
        <v>5.072656631469723</v>
      </c>
      <c r="R31" t="s">
        <v>140</v>
      </c>
    </row>
    <row r="32" spans="1:18" x14ac:dyDescent="0.3">
      <c r="A32" s="11" t="s">
        <v>93</v>
      </c>
      <c r="B32" s="30"/>
      <c r="C32" s="31">
        <v>19.252846412778975</v>
      </c>
      <c r="D32" s="30"/>
      <c r="E32" s="25">
        <f>((C32*Analysis!$AO$2+(Analysis!$D$2-Analysis!$C$2))/Analysis!$AQ$2)</f>
        <v>6.5726566314697266</v>
      </c>
      <c r="G32" s="81" t="s">
        <v>101</v>
      </c>
      <c r="H32" s="82"/>
      <c r="J32" s="42"/>
      <c r="K32" s="42"/>
      <c r="L32" s="42"/>
      <c r="M32" s="42"/>
    </row>
    <row r="33" spans="1:18" x14ac:dyDescent="0.3">
      <c r="A33" s="13" t="s">
        <v>99</v>
      </c>
      <c r="B33" s="14"/>
      <c r="C33" s="26">
        <v>24.649392054012324</v>
      </c>
      <c r="D33" s="14"/>
      <c r="E33" s="27">
        <f>((C33*Analysis!$AO$2+(Analysis!$D$2-Analysis!$C$2))/Analysis!$AQ$2)</f>
        <v>8.5726566314697283</v>
      </c>
      <c r="G33" s="11"/>
      <c r="H33" s="25"/>
      <c r="J33" s="32" t="s">
        <v>108</v>
      </c>
      <c r="K33" s="32"/>
      <c r="L33" s="32" t="s">
        <v>109</v>
      </c>
      <c r="M33" s="42"/>
      <c r="R33" t="s">
        <v>122</v>
      </c>
    </row>
    <row r="34" spans="1:18" x14ac:dyDescent="0.3">
      <c r="G34" s="11" t="s">
        <v>93</v>
      </c>
      <c r="H34" s="25">
        <f>AVERAGE(C26,C28,C31,C33,C36,C38,C41,C42)</f>
        <v>18.204511875403483</v>
      </c>
      <c r="K34" s="24"/>
      <c r="R34" t="s">
        <v>123</v>
      </c>
    </row>
    <row r="35" spans="1:18" x14ac:dyDescent="0.3">
      <c r="A35" s="21" t="s">
        <v>7</v>
      </c>
      <c r="B35" s="22"/>
      <c r="C35" s="22" t="s">
        <v>96</v>
      </c>
      <c r="D35" s="22"/>
      <c r="E35" s="23" t="s">
        <v>97</v>
      </c>
      <c r="G35" s="33" t="s">
        <v>106</v>
      </c>
      <c r="H35" s="34">
        <f>H34*J7</f>
        <v>16.384060687863137</v>
      </c>
      <c r="J35" s="41" t="s">
        <v>113</v>
      </c>
      <c r="L35" s="38" t="s">
        <v>115</v>
      </c>
    </row>
    <row r="36" spans="1:18" x14ac:dyDescent="0.3">
      <c r="A36" s="11" t="s">
        <v>98</v>
      </c>
      <c r="B36" s="30"/>
      <c r="C36" s="31">
        <v>12.633130767113322</v>
      </c>
      <c r="D36" s="30"/>
      <c r="E36" s="25">
        <f>C36/Analysis!$AN$2</f>
        <v>5.6752607217427649</v>
      </c>
      <c r="G36" s="35" t="s">
        <v>99</v>
      </c>
      <c r="H36" s="36">
        <f>H34*L7</f>
        <v>19.114737469173658</v>
      </c>
      <c r="L36" s="39">
        <v>18.32</v>
      </c>
      <c r="R36" t="s">
        <v>124</v>
      </c>
    </row>
    <row r="37" spans="1:18" x14ac:dyDescent="0.3">
      <c r="A37" s="11" t="s">
        <v>93</v>
      </c>
      <c r="B37" s="30"/>
      <c r="C37" s="31">
        <v>15.415630855328194</v>
      </c>
      <c r="D37" s="30"/>
      <c r="E37" s="25">
        <f>C37/Analysis!$AN$2</f>
        <v>6.9252607217427649</v>
      </c>
      <c r="R37" t="s">
        <v>125</v>
      </c>
    </row>
    <row r="38" spans="1:18" x14ac:dyDescent="0.3">
      <c r="A38" s="13" t="s">
        <v>99</v>
      </c>
      <c r="B38" s="14"/>
      <c r="C38" s="26">
        <v>23.763131119972815</v>
      </c>
      <c r="D38" s="14"/>
      <c r="E38" s="27">
        <f>C38/Analysis!$AN$2</f>
        <v>10.675260721742765</v>
      </c>
    </row>
    <row r="40" spans="1:18" x14ac:dyDescent="0.3">
      <c r="A40" s="21" t="s">
        <v>100</v>
      </c>
      <c r="B40" s="22"/>
      <c r="C40" s="23" t="s">
        <v>96</v>
      </c>
      <c r="D40" s="28"/>
      <c r="E40" s="28"/>
      <c r="R40" t="s">
        <v>126</v>
      </c>
    </row>
    <row r="41" spans="1:18" x14ac:dyDescent="0.3">
      <c r="A41" s="11" t="s">
        <v>98</v>
      </c>
      <c r="B41" s="30"/>
      <c r="C41" s="25">
        <f>Analysis!AV2</f>
        <v>15.340000152587891</v>
      </c>
      <c r="R41" t="s">
        <v>127</v>
      </c>
    </row>
    <row r="42" spans="1:18" x14ac:dyDescent="0.3">
      <c r="A42" s="13" t="s">
        <v>99</v>
      </c>
      <c r="B42" s="14"/>
      <c r="C42" s="27">
        <f>Analysis!AU2</f>
        <v>19.440000534057617</v>
      </c>
      <c r="R42" t="s">
        <v>128</v>
      </c>
    </row>
    <row r="43" spans="1:18" x14ac:dyDescent="0.3">
      <c r="R43" t="s">
        <v>139</v>
      </c>
    </row>
    <row r="44" spans="1:18" x14ac:dyDescent="0.3">
      <c r="A44" s="83" t="s">
        <v>102</v>
      </c>
      <c r="B44" s="78"/>
      <c r="C44" s="78"/>
      <c r="D44" s="79"/>
    </row>
    <row r="45" spans="1:18" x14ac:dyDescent="0.3">
      <c r="A45" s="29"/>
      <c r="B45" s="50" t="s">
        <v>103</v>
      </c>
      <c r="C45" s="50" t="s">
        <v>104</v>
      </c>
      <c r="D45" s="45" t="s">
        <v>105</v>
      </c>
    </row>
    <row r="46" spans="1:18" x14ac:dyDescent="0.3">
      <c r="A46" s="51" t="s">
        <v>92</v>
      </c>
      <c r="B46" s="37">
        <f>C26</f>
        <v>12.478577543979132</v>
      </c>
      <c r="C46" s="37">
        <f>D46-B46</f>
        <v>9.6478481056716632</v>
      </c>
      <c r="D46" s="52">
        <f>C28</f>
        <v>22.126425649650795</v>
      </c>
    </row>
    <row r="47" spans="1:18" x14ac:dyDescent="0.3">
      <c r="A47" s="51" t="s">
        <v>74</v>
      </c>
      <c r="B47" s="37">
        <f>C31</f>
        <v>15.205437181853961</v>
      </c>
      <c r="C47" s="37">
        <f t="shared" ref="C47:C49" si="0">D47-B47</f>
        <v>9.443954872158363</v>
      </c>
      <c r="D47" s="52">
        <f>C33</f>
        <v>24.649392054012324</v>
      </c>
    </row>
    <row r="48" spans="1:18" x14ac:dyDescent="0.3">
      <c r="A48" s="51" t="s">
        <v>7</v>
      </c>
      <c r="B48" s="37">
        <f>C36</f>
        <v>12.633130767113322</v>
      </c>
      <c r="C48" s="37">
        <f t="shared" si="0"/>
        <v>11.130000352859494</v>
      </c>
      <c r="D48" s="52">
        <f>C38</f>
        <v>23.763131119972815</v>
      </c>
    </row>
    <row r="49" spans="1:18" x14ac:dyDescent="0.3">
      <c r="A49" s="53" t="s">
        <v>107</v>
      </c>
      <c r="B49" s="54">
        <f>C41</f>
        <v>15.340000152587891</v>
      </c>
      <c r="C49" s="54">
        <f t="shared" si="0"/>
        <v>4.1000003814697266</v>
      </c>
      <c r="D49" s="55">
        <f>C42</f>
        <v>19.440000534057617</v>
      </c>
    </row>
    <row r="52" spans="1:18" x14ac:dyDescent="0.3">
      <c r="A52" s="81" t="s">
        <v>111</v>
      </c>
      <c r="B52" s="84"/>
      <c r="C52" s="84"/>
      <c r="D52" s="82"/>
      <c r="R52" t="s">
        <v>130</v>
      </c>
    </row>
    <row r="53" spans="1:18" x14ac:dyDescent="0.3">
      <c r="A53" s="48" t="s">
        <v>106</v>
      </c>
      <c r="B53" s="85" t="s">
        <v>93</v>
      </c>
      <c r="C53" s="85"/>
      <c r="D53" s="49" t="s">
        <v>99</v>
      </c>
      <c r="R53" t="s">
        <v>131</v>
      </c>
    </row>
    <row r="54" spans="1:18" x14ac:dyDescent="0.3">
      <c r="A54" s="46">
        <f>H35*Analysis!AO2</f>
        <v>2071.177924607668</v>
      </c>
      <c r="B54" s="80">
        <f>H34*Analysis!AO2</f>
        <v>2301.308805119631</v>
      </c>
      <c r="C54" s="80"/>
      <c r="D54" s="47">
        <f>'Analysis (2)'!H36*Analysis!AO2</f>
        <v>2416.3742453756126</v>
      </c>
      <c r="R54" t="s">
        <v>138</v>
      </c>
    </row>
    <row r="56" spans="1:18" x14ac:dyDescent="0.3">
      <c r="A56" s="43" t="s">
        <v>110</v>
      </c>
      <c r="B56" s="43" t="str">
        <f>Analysis!B2</f>
        <v>M6-METROPOLE TELEVISION</v>
      </c>
      <c r="C56" s="43"/>
      <c r="D56" s="44">
        <f>Analysis!C2</f>
        <v>2248.9094719199998</v>
      </c>
    </row>
    <row r="58" spans="1:18" x14ac:dyDescent="0.3">
      <c r="A58" s="56" t="s">
        <v>112</v>
      </c>
      <c r="B58" s="61" t="s">
        <v>92</v>
      </c>
      <c r="C58" s="62" t="s">
        <v>74</v>
      </c>
      <c r="D58" s="63" t="s">
        <v>7</v>
      </c>
      <c r="R58" t="s">
        <v>132</v>
      </c>
    </row>
    <row r="59" spans="1:18" x14ac:dyDescent="0.3">
      <c r="A59" s="59">
        <f>H35</f>
        <v>16.384060687863137</v>
      </c>
      <c r="B59" s="58">
        <f>((A59*Analysis!$AO$2+(Analysis!$D$2-Analysis!$C$2))/Analysis!$AP$2)</f>
        <v>4.2373797623622727</v>
      </c>
      <c r="C59" s="64">
        <f>((A59*Analysis!$AO$2+(Analysis!$D$2-Analysis!$C$2))/Analysis!$AQ$2)</f>
        <v>5.5094632794126879</v>
      </c>
      <c r="D59" s="57">
        <f>A59/Analysis!$AN$2</f>
        <v>7.3603145410744668</v>
      </c>
      <c r="R59" t="s">
        <v>133</v>
      </c>
    </row>
    <row r="60" spans="1:18" x14ac:dyDescent="0.3">
      <c r="A60" s="59">
        <f>H34</f>
        <v>18.204511875403483</v>
      </c>
      <c r="B60" s="58">
        <f>((A60*Analysis!$AO$2+(Analysis!$D$2-Analysis!$C$2))/Analysis!$AP$2)</f>
        <v>4.7562768999315237</v>
      </c>
      <c r="C60" s="64">
        <f>((A60*Analysis!$AO$2+(Analysis!$D$2-Analysis!$C$2))/Analysis!$AQ$2)</f>
        <v>6.1841360454987706</v>
      </c>
      <c r="D60" s="57">
        <f>A60/Analysis!$AN$2</f>
        <v>8.1781272678605177</v>
      </c>
      <c r="R60" t="s">
        <v>134</v>
      </c>
    </row>
    <row r="61" spans="1:18" x14ac:dyDescent="0.3">
      <c r="A61" s="60">
        <f>H36</f>
        <v>19.114737469173658</v>
      </c>
      <c r="B61" s="58">
        <f>((A61*Analysis!$AO$2+(Analysis!$D$2-Analysis!$C$2))/Analysis!$AP$2)</f>
        <v>5.0157254687161501</v>
      </c>
      <c r="C61" s="64">
        <f>((A61*Analysis!$AO$2+(Analysis!$D$2-Analysis!$C$2))/Analysis!$AQ$2)</f>
        <v>6.5214724285418129</v>
      </c>
      <c r="D61" s="57">
        <f>A61/Analysis!$AN$2</f>
        <v>8.5870336312535436</v>
      </c>
    </row>
    <row r="63" spans="1:18" ht="18" x14ac:dyDescent="0.35">
      <c r="A63" s="70" t="s">
        <v>116</v>
      </c>
      <c r="B63" s="71" t="s">
        <v>73</v>
      </c>
      <c r="C63" s="72"/>
      <c r="D63" s="71" t="s">
        <v>74</v>
      </c>
      <c r="E63" s="72"/>
      <c r="F63" s="73" t="s">
        <v>7</v>
      </c>
      <c r="R63" t="s">
        <v>135</v>
      </c>
    </row>
    <row r="64" spans="1:18" x14ac:dyDescent="0.3">
      <c r="A64" s="11" t="s">
        <v>117</v>
      </c>
      <c r="B64" s="74">
        <f>E11</f>
        <v>3.0183409407023021E-3</v>
      </c>
      <c r="C64" s="30"/>
      <c r="D64" s="74">
        <f>F11</f>
        <v>-8.2484006657061237E-2</v>
      </c>
      <c r="E64" s="30"/>
      <c r="F64" s="75">
        <f>G11</f>
        <v>0.15407023869944814</v>
      </c>
      <c r="R64" t="s">
        <v>136</v>
      </c>
    </row>
    <row r="65" spans="1:18" x14ac:dyDescent="0.3">
      <c r="A65" s="13" t="s">
        <v>118</v>
      </c>
      <c r="B65" s="76" t="str">
        <f>IF(B64&lt;-0.1,"Overvalued",IF(B64&lt;-0.03,"Slightly Overvalued",IF(B64&lt;0.03,"Fairly Valued",IF(B64&lt;0.1,"Slightly Overvalued","Overvalued"))))</f>
        <v>Fairly Valued</v>
      </c>
      <c r="C65" s="14"/>
      <c r="D65" s="76" t="str">
        <f>IF(D64&lt;-0.1,"Overvalued",IF(D64&lt;-0.03,"Slightly Overvalued",IF(D64&lt;0.03,"Fairly Valued",IF(D64&lt;0.1,"Slightly Overvalued","Overvalued"))))</f>
        <v>Slightly Overvalued</v>
      </c>
      <c r="E65" s="14"/>
      <c r="F65" s="77" t="str">
        <f>IF(F64&lt;-0.1,"Overvalued",IF(F64&lt;-0.03,"Slightly Overvalued",IF(F64&lt;0.03,"Fairly Valued",IF(F64&lt;0.1,"Slightly Overvalued","Overvalued"))))</f>
        <v>Overvalued</v>
      </c>
      <c r="R65" t="s">
        <v>137</v>
      </c>
    </row>
    <row r="66" spans="1:18" ht="23.4" x14ac:dyDescent="0.45">
      <c r="A66" s="65"/>
    </row>
    <row r="72" spans="1:18" ht="23.4" x14ac:dyDescent="0.45">
      <c r="A72" s="65"/>
    </row>
  </sheetData>
  <mergeCells count="6">
    <mergeCell ref="B1:G1"/>
    <mergeCell ref="B54:C54"/>
    <mergeCell ref="G32:H32"/>
    <mergeCell ref="A44:D44"/>
    <mergeCell ref="A52:D52"/>
    <mergeCell ref="B53:C5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0119" r:id="rId3" name="SpinButton1">
          <controlPr defaultSize="0" autoLine="0" linkedCell="F17" r:id="rId4">
            <anchor moveWithCells="1">
              <from>
                <xdr:col>5</xdr:col>
                <xdr:colOff>121920</xdr:colOff>
                <xdr:row>15</xdr:row>
                <xdr:rowOff>167640</xdr:rowOff>
              </from>
              <to>
                <xdr:col>6</xdr:col>
                <xdr:colOff>236220</xdr:colOff>
                <xdr:row>17</xdr:row>
                <xdr:rowOff>53340</xdr:rowOff>
              </to>
            </anchor>
          </controlPr>
        </control>
      </mc:Choice>
      <mc:Fallback>
        <control shapeId="90119" r:id="rId3" name="SpinButton1"/>
      </mc:Fallback>
    </mc:AlternateContent>
    <mc:AlternateContent xmlns:mc="http://schemas.openxmlformats.org/markup-compatibility/2006">
      <mc:Choice Requires="x14">
        <control shapeId="90121" r:id="rId5" name="SpinButton2">
          <controlPr defaultSize="0" autoLine="0" linkedCell="F22" r:id="rId4">
            <anchor moveWithCells="1">
              <from>
                <xdr:col>5</xdr:col>
                <xdr:colOff>129540</xdr:colOff>
                <xdr:row>20</xdr:row>
                <xdr:rowOff>144780</xdr:rowOff>
              </from>
              <to>
                <xdr:col>6</xdr:col>
                <xdr:colOff>243840</xdr:colOff>
                <xdr:row>22</xdr:row>
                <xdr:rowOff>30480</xdr:rowOff>
              </to>
            </anchor>
          </controlPr>
        </control>
      </mc:Choice>
      <mc:Fallback>
        <control shapeId="90121" r:id="rId5" name="SpinButton2"/>
      </mc:Fallback>
    </mc:AlternateContent>
    <mc:AlternateContent xmlns:mc="http://schemas.openxmlformats.org/markup-compatibility/2006">
      <mc:Choice Requires="x14">
        <control shapeId="90122" r:id="rId6" name="SpinButton3">
          <controlPr defaultSize="0" autoLine="0" linkedCell="J17" r:id="rId4">
            <anchor moveWithCells="1">
              <from>
                <xdr:col>9</xdr:col>
                <xdr:colOff>175260</xdr:colOff>
                <xdr:row>15</xdr:row>
                <xdr:rowOff>167640</xdr:rowOff>
              </from>
              <to>
                <xdr:col>10</xdr:col>
                <xdr:colOff>251460</xdr:colOff>
                <xdr:row>17</xdr:row>
                <xdr:rowOff>53340</xdr:rowOff>
              </to>
            </anchor>
          </controlPr>
        </control>
      </mc:Choice>
      <mc:Fallback>
        <control shapeId="90122" r:id="rId6" name="SpinButton3"/>
      </mc:Fallback>
    </mc:AlternateContent>
    <mc:AlternateContent xmlns:mc="http://schemas.openxmlformats.org/markup-compatibility/2006">
      <mc:Choice Requires="x14">
        <control shapeId="90123" r:id="rId7" name="SpinButton4">
          <controlPr defaultSize="0" autoLine="0" linkedCell="J22" r:id="rId4">
            <anchor moveWithCells="1">
              <from>
                <xdr:col>9</xdr:col>
                <xdr:colOff>182880</xdr:colOff>
                <xdr:row>20</xdr:row>
                <xdr:rowOff>160020</xdr:rowOff>
              </from>
              <to>
                <xdr:col>10</xdr:col>
                <xdr:colOff>259080</xdr:colOff>
                <xdr:row>22</xdr:row>
                <xdr:rowOff>45720</xdr:rowOff>
              </to>
            </anchor>
          </controlPr>
        </control>
      </mc:Choice>
      <mc:Fallback>
        <control shapeId="90123" r:id="rId7" name="SpinButton4"/>
      </mc:Fallback>
    </mc:AlternateContent>
    <mc:AlternateContent xmlns:mc="http://schemas.openxmlformats.org/markup-compatibility/2006">
      <mc:Choice Requires="x14">
        <control shapeId="90124" r:id="rId8" name="SpinButton5">
          <controlPr defaultSize="0" autoLine="0" linkedCell="N17" r:id="rId4">
            <anchor moveWithCells="1">
              <from>
                <xdr:col>13</xdr:col>
                <xdr:colOff>129540</xdr:colOff>
                <xdr:row>15</xdr:row>
                <xdr:rowOff>167640</xdr:rowOff>
              </from>
              <to>
                <xdr:col>15</xdr:col>
                <xdr:colOff>30480</xdr:colOff>
                <xdr:row>17</xdr:row>
                <xdr:rowOff>53340</xdr:rowOff>
              </to>
            </anchor>
          </controlPr>
        </control>
      </mc:Choice>
      <mc:Fallback>
        <control shapeId="90124" r:id="rId8" name="SpinButton5"/>
      </mc:Fallback>
    </mc:AlternateContent>
    <mc:AlternateContent xmlns:mc="http://schemas.openxmlformats.org/markup-compatibility/2006">
      <mc:Choice Requires="x14">
        <control shapeId="90125" r:id="rId9" name="SpinButton6">
          <controlPr defaultSize="0" autoLine="0" linkedCell="N22" r:id="rId4">
            <anchor moveWithCells="1">
              <from>
                <xdr:col>13</xdr:col>
                <xdr:colOff>182880</xdr:colOff>
                <xdr:row>20</xdr:row>
                <xdr:rowOff>152400</xdr:rowOff>
              </from>
              <to>
                <xdr:col>15</xdr:col>
                <xdr:colOff>83820</xdr:colOff>
                <xdr:row>22</xdr:row>
                <xdr:rowOff>38100</xdr:rowOff>
              </to>
            </anchor>
          </controlPr>
        </control>
      </mc:Choice>
      <mc:Fallback>
        <control shapeId="90125" r:id="rId9" name="SpinButton6"/>
      </mc:Fallback>
    </mc:AlternateContent>
    <mc:AlternateContent xmlns:mc="http://schemas.openxmlformats.org/markup-compatibility/2006">
      <mc:Choice Requires="x14">
        <control shapeId="90141" r:id="rId10" name="ComboBox1">
          <controlPr defaultSize="0" autoLine="0" linkedCell="J7" listFillRange="I1:I10" r:id="rId11">
            <anchor moveWithCells="1">
              <from>
                <xdr:col>9</xdr:col>
                <xdr:colOff>0</xdr:colOff>
                <xdr:row>33</xdr:row>
                <xdr:rowOff>68580</xdr:rowOff>
              </from>
              <to>
                <xdr:col>10</xdr:col>
                <xdr:colOff>38100</xdr:colOff>
                <xdr:row>35</xdr:row>
                <xdr:rowOff>22860</xdr:rowOff>
              </to>
            </anchor>
          </controlPr>
        </control>
      </mc:Choice>
      <mc:Fallback>
        <control shapeId="90141" r:id="rId10" name="ComboBox1"/>
      </mc:Fallback>
    </mc:AlternateContent>
    <mc:AlternateContent xmlns:mc="http://schemas.openxmlformats.org/markup-compatibility/2006">
      <mc:Choice Requires="x14">
        <control shapeId="90143" r:id="rId12" name="ComboBox2">
          <controlPr defaultSize="0" autoLine="0" linkedCell="L7" listFillRange="J1:J12" r:id="rId13">
            <anchor moveWithCells="1">
              <from>
                <xdr:col>11</xdr:col>
                <xdr:colOff>0</xdr:colOff>
                <xdr:row>33</xdr:row>
                <xdr:rowOff>68580</xdr:rowOff>
              </from>
              <to>
                <xdr:col>12</xdr:col>
                <xdr:colOff>205740</xdr:colOff>
                <xdr:row>35</xdr:row>
                <xdr:rowOff>22860</xdr:rowOff>
              </to>
            </anchor>
          </controlPr>
        </control>
      </mc:Choice>
      <mc:Fallback>
        <control shapeId="90143" r:id="rId12" name="ComboBox2"/>
      </mc:Fallback>
    </mc:AlternateContent>
    <mc:AlternateContent xmlns:mc="http://schemas.openxmlformats.org/markup-compatibility/2006">
      <mc:Choice Requires="x14">
        <control shapeId="90138" r:id="rId14" name="Button 26">
          <controlPr defaultSize="0" print="0" autoFill="0" autoPict="0" macro="[0]!Valuation">
            <anchor moveWithCells="1" sizeWithCells="1">
              <from>
                <xdr:col>6</xdr:col>
                <xdr:colOff>30480</xdr:colOff>
                <xdr:row>26</xdr:row>
                <xdr:rowOff>30480</xdr:rowOff>
              </from>
              <to>
                <xdr:col>11</xdr:col>
                <xdr:colOff>548640</xdr:colOff>
                <xdr:row>30</xdr:row>
                <xdr:rowOff>38100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EPS_NDPS</vt:lpstr>
      <vt:lpstr>Profitability</vt:lpstr>
      <vt:lpstr>Profitability (2)</vt:lpstr>
      <vt:lpstr>Growth</vt:lpstr>
      <vt:lpstr>Analysis</vt:lpstr>
      <vt:lpstr>Analysis (2)</vt:lpstr>
      <vt:lpstr>Design_1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Mickael Bertolla</cp:lastModifiedBy>
  <dcterms:created xsi:type="dcterms:W3CDTF">2022-04-17T20:21:24Z</dcterms:created>
  <dcterms:modified xsi:type="dcterms:W3CDTF">2022-04-29T18:58:40Z</dcterms:modified>
</cp:coreProperties>
</file>